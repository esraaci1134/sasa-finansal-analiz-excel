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esraa\Downloads\"/>
    </mc:Choice>
  </mc:AlternateContent>
  <xr:revisionPtr revIDLastSave="0" documentId="13_ncr:1_{8A2831B1-5CA4-4CDD-9749-9F1179FB022C}" xr6:coauthVersionLast="47" xr6:coauthVersionMax="47" xr10:uidLastSave="{00000000-0000-0000-0000-000000000000}"/>
  <bookViews>
    <workbookView xWindow="-108" yWindow="-108" windowWidth="23256" windowHeight="13896" tabRatio="774" xr2:uid="{00000000-000D-0000-FFFF-FFFF00000000}"/>
  </bookViews>
  <sheets>
    <sheet name="DİKEY ANALİZ (Bilanço-Varlık)" sheetId="4" r:id="rId1"/>
    <sheet name="DİKEY ANALİZ-GELİR TABLOSU" sheetId="6" r:id="rId2"/>
    <sheet name="YATAY ANALİZ" sheetId="5" r:id="rId3"/>
    <sheet name="Trend Analizi" sheetId="10" r:id="rId4"/>
    <sheet name="ORAN ANALİZİ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9" i="1" l="1"/>
  <c r="N42" i="10" l="1"/>
  <c r="R20" i="10"/>
  <c r="R41" i="10" s="1"/>
  <c r="R65" i="10" s="1"/>
  <c r="R86" i="10" s="1"/>
  <c r="Q20" i="10"/>
  <c r="Q41" i="10" s="1"/>
  <c r="Q65" i="10" s="1"/>
  <c r="Q86" i="10" s="1"/>
  <c r="E36" i="1"/>
  <c r="F29" i="1"/>
  <c r="F28" i="1"/>
  <c r="G16" i="1"/>
  <c r="D25" i="1" s="1"/>
  <c r="G15" i="1"/>
  <c r="D24" i="1" s="1"/>
  <c r="E11" i="1"/>
  <c r="E10" i="1"/>
  <c r="D11" i="1"/>
  <c r="D10" i="1"/>
  <c r="C86" i="10"/>
  <c r="E86" i="10"/>
  <c r="F86" i="10"/>
  <c r="G86" i="10"/>
  <c r="C65" i="10"/>
  <c r="C64" i="10"/>
  <c r="D64" i="10"/>
  <c r="D86" i="10" s="1"/>
  <c r="E64" i="10"/>
  <c r="F64" i="10"/>
  <c r="G64" i="10"/>
  <c r="C14" i="10"/>
  <c r="N14" i="10"/>
  <c r="C11" i="10"/>
  <c r="B13" i="10"/>
  <c r="C13" i="10"/>
  <c r="D13" i="10"/>
  <c r="E13" i="10"/>
  <c r="F13" i="10"/>
  <c r="G13" i="10"/>
  <c r="N13" i="10"/>
  <c r="N20" i="10" s="1"/>
  <c r="N41" i="10" s="1"/>
  <c r="N65" i="10" s="1"/>
  <c r="N86" i="10" s="1"/>
  <c r="O13" i="10"/>
  <c r="O20" i="10" s="1"/>
  <c r="O41" i="10" s="1"/>
  <c r="O65" i="10" s="1"/>
  <c r="O86" i="10" s="1"/>
  <c r="P13" i="10"/>
  <c r="P20" i="10" s="1"/>
  <c r="P41" i="10" s="1"/>
  <c r="P65" i="10" s="1"/>
  <c r="P86" i="10" s="1"/>
  <c r="Q13" i="10"/>
  <c r="R13" i="10"/>
  <c r="C12" i="10"/>
  <c r="G4" i="6"/>
  <c r="R12" i="10" l="1"/>
  <c r="R64" i="10" s="1"/>
  <c r="R14" i="10"/>
  <c r="R42" i="10" s="1"/>
  <c r="R15" i="10"/>
  <c r="R87" i="10" s="1"/>
  <c r="R11" i="10"/>
  <c r="R19" i="10" s="1"/>
  <c r="Q12" i="10"/>
  <c r="Q64" i="10" s="1"/>
  <c r="Q14" i="10"/>
  <c r="Q42" i="10" s="1"/>
  <c r="Q15" i="10"/>
  <c r="Q87" i="10" s="1"/>
  <c r="Q11" i="10"/>
  <c r="Q19" i="10" s="1"/>
  <c r="P12" i="10"/>
  <c r="P64" i="10" s="1"/>
  <c r="P14" i="10"/>
  <c r="P42" i="10" s="1"/>
  <c r="P15" i="10"/>
  <c r="P87" i="10" s="1"/>
  <c r="P11" i="10"/>
  <c r="P19" i="10" s="1"/>
  <c r="O12" i="10"/>
  <c r="O64" i="10" s="1"/>
  <c r="O14" i="10"/>
  <c r="O42" i="10" s="1"/>
  <c r="O15" i="10"/>
  <c r="O87" i="10" s="1"/>
  <c r="O11" i="10"/>
  <c r="O19" i="10" s="1"/>
  <c r="N12" i="10"/>
  <c r="N64" i="10" s="1"/>
  <c r="N15" i="10"/>
  <c r="N87" i="10" s="1"/>
  <c r="N11" i="10"/>
  <c r="N19" i="10" s="1"/>
  <c r="G12" i="10"/>
  <c r="G65" i="10" s="1"/>
  <c r="G14" i="10"/>
  <c r="G15" i="10"/>
  <c r="G87" i="10" s="1"/>
  <c r="G11" i="10"/>
  <c r="F12" i="10"/>
  <c r="F65" i="10" s="1"/>
  <c r="F14" i="10"/>
  <c r="F15" i="10"/>
  <c r="F87" i="10" s="1"/>
  <c r="F11" i="10"/>
  <c r="E15" i="10"/>
  <c r="E87" i="10" s="1"/>
  <c r="E14" i="10"/>
  <c r="E12" i="10"/>
  <c r="E65" i="10" s="1"/>
  <c r="E11" i="10"/>
  <c r="D12" i="10"/>
  <c r="D65" i="10" s="1"/>
  <c r="D14" i="10"/>
  <c r="D15" i="10"/>
  <c r="D87" i="10" s="1"/>
  <c r="D11" i="10"/>
  <c r="C15" i="10"/>
  <c r="C87" i="10" s="1"/>
  <c r="B12" i="10"/>
  <c r="B14" i="10"/>
  <c r="B15" i="10"/>
  <c r="B11" i="10"/>
  <c r="B16" i="1"/>
  <c r="B15" i="1"/>
  <c r="G59" i="1"/>
  <c r="G62" i="1" s="1"/>
  <c r="D63" i="1" s="1"/>
  <c r="E49" i="1"/>
  <c r="G49" i="1" s="1"/>
  <c r="G51" i="1" s="1"/>
  <c r="D52" i="1" s="1"/>
  <c r="G4" i="5"/>
  <c r="G5" i="5"/>
  <c r="G6" i="5"/>
  <c r="G7" i="5"/>
  <c r="G8" i="5"/>
  <c r="G9" i="5"/>
  <c r="G10" i="5"/>
  <c r="G11" i="5"/>
  <c r="G12" i="5"/>
  <c r="G14" i="5"/>
  <c r="G15" i="5"/>
  <c r="G16" i="5"/>
  <c r="G17" i="5"/>
  <c r="G18" i="5"/>
  <c r="G19" i="5"/>
  <c r="G3" i="5"/>
  <c r="H26" i="6"/>
  <c r="H27" i="6"/>
  <c r="G26" i="6"/>
  <c r="G27" i="6"/>
  <c r="H4" i="4"/>
  <c r="H5" i="4"/>
  <c r="H6" i="4"/>
  <c r="H7" i="4"/>
  <c r="H8" i="4"/>
  <c r="H9" i="4"/>
  <c r="H10" i="4"/>
  <c r="H11" i="4"/>
  <c r="H12" i="4"/>
  <c r="H3" i="4"/>
  <c r="H15" i="4"/>
  <c r="H16" i="4"/>
  <c r="H17" i="4"/>
  <c r="H18" i="4"/>
  <c r="G15" i="4"/>
  <c r="G16" i="4"/>
  <c r="G17" i="4"/>
  <c r="G18" i="4"/>
  <c r="H14" i="4"/>
  <c r="G14" i="4"/>
  <c r="G3" i="4"/>
  <c r="G4" i="4"/>
  <c r="G5" i="4"/>
  <c r="G6" i="4"/>
  <c r="G7" i="4"/>
  <c r="G8" i="4"/>
  <c r="G9" i="4"/>
  <c r="G10" i="4"/>
  <c r="G11" i="4"/>
  <c r="G12" i="4"/>
  <c r="E43" i="1"/>
  <c r="G43" i="1" s="1"/>
  <c r="G45" i="1" s="1"/>
  <c r="D46" i="1" s="1"/>
  <c r="B37" i="1"/>
  <c r="B36" i="1"/>
  <c r="B33" i="1"/>
  <c r="B32" i="1"/>
  <c r="G29" i="1"/>
  <c r="B29" i="1" s="1"/>
  <c r="G28" i="1"/>
  <c r="B28" i="1" s="1"/>
  <c r="B25" i="1"/>
  <c r="B24" i="1"/>
  <c r="B21" i="1"/>
  <c r="B20" i="1"/>
  <c r="G11" i="1"/>
  <c r="B11" i="1" s="1"/>
  <c r="G10" i="1"/>
  <c r="B10" i="1" s="1"/>
  <c r="B6" i="1"/>
  <c r="B5" i="1"/>
  <c r="H25" i="6"/>
  <c r="G25" i="6"/>
  <c r="H23" i="6"/>
  <c r="G23" i="6"/>
  <c r="H22" i="6"/>
  <c r="G22" i="6"/>
  <c r="H21" i="6"/>
  <c r="G21" i="6"/>
  <c r="H19" i="6"/>
  <c r="G19" i="6"/>
  <c r="H17" i="6"/>
  <c r="G17" i="6"/>
  <c r="H16" i="6"/>
  <c r="G16" i="6"/>
  <c r="H14" i="6"/>
  <c r="G14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4" i="6"/>
  <c r="H3" i="6"/>
  <c r="G3" i="6"/>
  <c r="E66" i="1" l="1"/>
  <c r="G66" i="1" s="1"/>
  <c r="G69" i="1" s="1"/>
  <c r="D70" i="1" s="1"/>
</calcChain>
</file>

<file path=xl/sharedStrings.xml><?xml version="1.0" encoding="utf-8"?>
<sst xmlns="http://schemas.openxmlformats.org/spreadsheetml/2006/main" count="185" uniqueCount="100">
  <si>
    <t>VARLIKLAR</t>
  </si>
  <si>
    <t>Dönen varlıklar:</t>
  </si>
  <si>
    <t>Nakit ve nakit benzerleri</t>
  </si>
  <si>
    <t>Ticari alacaklar</t>
  </si>
  <si>
    <t>İlişkili taraflardan ticari alacaklar</t>
  </si>
  <si>
    <t>İlişkili olmayan taraflardan ticari alacaklar</t>
  </si>
  <si>
    <t>Diğer alacaklar</t>
  </si>
  <si>
    <t>İlişkili olmayan taraflardan diğer alacaklar</t>
  </si>
  <si>
    <t>Stoklar</t>
  </si>
  <si>
    <t>Peşin ödenmiş giderler</t>
  </si>
  <si>
    <t>Diğer dönen varlıklar</t>
  </si>
  <si>
    <t>Duran varlıklar:</t>
  </si>
  <si>
    <t>TOPLAM VARLIKLAR</t>
  </si>
  <si>
    <t>Hasılat</t>
  </si>
  <si>
    <t>Satışların maliyeti</t>
  </si>
  <si>
    <t>Brüt Kar</t>
  </si>
  <si>
    <t>Genel yönetim giderleri</t>
  </si>
  <si>
    <t>Pazarlama satış ve dağıtım giderleri</t>
  </si>
  <si>
    <t>Araştırma ve gelişme giderleri</t>
  </si>
  <si>
    <t>Esas faaliyetlerden diğer gelirler</t>
  </si>
  <si>
    <t>Esas faaliyetlerden diğer giderler</t>
  </si>
  <si>
    <t>Yatırım faaliyetlerinden gelirler</t>
  </si>
  <si>
    <t>Yatırım faaliyetlerinden giderler</t>
  </si>
  <si>
    <t>Ticari Alacaklar</t>
  </si>
  <si>
    <t>Satışlar</t>
  </si>
  <si>
    <t>Satışların Maliyeti (-)</t>
  </si>
  <si>
    <t>Dönem Karı</t>
  </si>
  <si>
    <t>LİKİDİTE ORANLARI</t>
  </si>
  <si>
    <t>CARİ ORAN</t>
  </si>
  <si>
    <t xml:space="preserve"> = </t>
  </si>
  <si>
    <t>Dönen Varlıklar</t>
  </si>
  <si>
    <t>KVYK</t>
  </si>
  <si>
    <t>DV-Stoklar</t>
  </si>
  <si>
    <t>ASİT TEST ORANI</t>
  </si>
  <si>
    <t>=</t>
  </si>
  <si>
    <t>Nakit ve benzerleri</t>
  </si>
  <si>
    <t>Finansal Yatırımlar</t>
  </si>
  <si>
    <t>NAKİT ORANI</t>
  </si>
  <si>
    <t>BORÇLANMA ORANI</t>
  </si>
  <si>
    <t>Toplam Borçlar</t>
  </si>
  <si>
    <t>Toplam Aktif</t>
  </si>
  <si>
    <t>FİNANSAL YAPI ORANLARI</t>
  </si>
  <si>
    <t>FİNANSAL KALDIRAÇ ORANI</t>
  </si>
  <si>
    <t>BORÇLARIN VADE YAPISI ORANI</t>
  </si>
  <si>
    <t>UVYK</t>
  </si>
  <si>
    <t>Duran Varlıklar</t>
  </si>
  <si>
    <t xml:space="preserve">Özkaynaklar </t>
  </si>
  <si>
    <t>DEVAMLI SERMAYE</t>
  </si>
  <si>
    <t>KAR MARJLARI</t>
  </si>
  <si>
    <t>BRÜT KAR MARJI</t>
  </si>
  <si>
    <t>BRÜT KAR</t>
  </si>
  <si>
    <t>SATIŞ HASILATI</t>
  </si>
  <si>
    <t>DÖNEM KAR MAJI</t>
  </si>
  <si>
    <t>DÖNEM KARI</t>
  </si>
  <si>
    <t>FAALİYET (VERİMLİLİK) ORANLARI</t>
  </si>
  <si>
    <t>STOK DEVİR HIZI ORANI</t>
  </si>
  <si>
    <t>Satışların Maliyeti / Ortalama Stok</t>
  </si>
  <si>
    <t>Ortalama Stok=(Dönem Başı Stok + Dönem Sonu Stok) / 2]</t>
  </si>
  <si>
    <t>2023 Dönem Başı Stok (2022 Dönem Sonu)</t>
  </si>
  <si>
    <t>2023 Dönem Sonu Stok</t>
  </si>
  <si>
    <t>Dönem Başı Stok + Dönem Sonu Stok</t>
  </si>
  <si>
    <t>Ortalama Stok</t>
  </si>
  <si>
    <t>Satışların Maliyeti</t>
  </si>
  <si>
    <t>SDH ORANI</t>
  </si>
  <si>
    <t>Stok Devir Süresi</t>
  </si>
  <si>
    <t>GÜN</t>
  </si>
  <si>
    <t>T. ALACAK DEVİR HIZI ORANI</t>
  </si>
  <si>
    <t>Kredili Net Satışlar (Hasılat) / Ortalama Tic. Alacaklar</t>
  </si>
  <si>
    <t>Ortalama T.A.=(Dönem Başı T.A. + Dönem Sonu T.A) / 2]</t>
  </si>
  <si>
    <t>2023 Dönem Başı T.A. (2022 Dönem Sonu)</t>
  </si>
  <si>
    <t>Ortalama T.A.</t>
  </si>
  <si>
    <t>Hasılat (Kredili Net Satışlar Sunulmadığı İçin)</t>
  </si>
  <si>
    <t>Maddi Duran Varlıklar</t>
  </si>
  <si>
    <t>Maddi Olmayan Duran Varlıklar</t>
  </si>
  <si>
    <t>Dikey (Yüzde)</t>
  </si>
  <si>
    <t>Esas Faaliyet Karı</t>
  </si>
  <si>
    <t>Finansman Gelir/Gideri Öncesi Faaliyet Karı</t>
  </si>
  <si>
    <t>Sürdürülen Faaliyetler Vergi Öncesi Kar</t>
  </si>
  <si>
    <t>Finansal Gelirler</t>
  </si>
  <si>
    <t>Finansal Giderler (-)</t>
  </si>
  <si>
    <t>Net Parasal Pozisyon Kazanç ve Kayıpları</t>
  </si>
  <si>
    <t>Pay Başına Kazanç</t>
  </si>
  <si>
    <t>Yatay Analiz Değişim %</t>
  </si>
  <si>
    <t>2019 (%)</t>
  </si>
  <si>
    <t>DURAN VARLIKLARIN D. SERMAYEYE ORANI</t>
  </si>
  <si>
    <t>2024 Dönem Başı Stok (2023 Dönem Sonu)</t>
  </si>
  <si>
    <t>2024 Dönem Sonu Stok</t>
  </si>
  <si>
    <t>2024 Dönem Başı T.A. (2023 Dönem Sonu)</t>
  </si>
  <si>
    <t>Nakit VB+Fin. Yatır.</t>
  </si>
  <si>
    <t>Ü</t>
  </si>
  <si>
    <t>GRAFİK (Stoklar -  Satışlar)</t>
  </si>
  <si>
    <t>GRAFİK ( Satışlar - Satışların Maliyeti)</t>
  </si>
  <si>
    <t>GRAFİK ( Satışlar - Ticari Alacaklar)</t>
  </si>
  <si>
    <t>GRAFİK ( Satışlar - Dönem Karı)</t>
  </si>
  <si>
    <t>SASA POLYESTER</t>
  </si>
  <si>
    <t>Teşvik Belgesi Dahilinde Ertelenmiş Vergi Geliri</t>
  </si>
  <si>
    <t>2024 Dönem Sonu Ticari Alacaklar</t>
  </si>
  <si>
    <t>2023 Dönem Sonu Ticari Alacaklar</t>
  </si>
  <si>
    <t>Dönem Başı Ticari Alacaklar + Dönem Sonu Ticari Alacaklar</t>
  </si>
  <si>
    <t>48.582.54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</si>
</sst>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dd\-mmm\-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62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36"/>
      <color theme="1"/>
      <name val="Symbol"/>
      <family val="1"/>
      <charset val="162"/>
    </font>
    <font>
      <b/>
      <sz val="3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7" fillId="2" borderId="0" xfId="0" applyFont="1" applyFill="1"/>
    <xf numFmtId="0" fontId="7" fillId="0" borderId="0" xfId="0" applyFont="1"/>
    <xf numFmtId="3" fontId="7" fillId="0" borderId="0" xfId="0" applyNumberFormat="1" applyFont="1"/>
    <xf numFmtId="164" fontId="0" fillId="0" borderId="0" xfId="0" applyNumberFormat="1"/>
    <xf numFmtId="3" fontId="0" fillId="0" borderId="6" xfId="0" applyNumberFormat="1" applyBorder="1"/>
    <xf numFmtId="3" fontId="0" fillId="0" borderId="0" xfId="0" applyNumberFormat="1"/>
    <xf numFmtId="0" fontId="0" fillId="0" borderId="6" xfId="0" applyBorder="1"/>
    <xf numFmtId="2" fontId="7" fillId="0" borderId="0" xfId="0" applyNumberFormat="1" applyFont="1"/>
    <xf numFmtId="0" fontId="7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7" fillId="0" borderId="9" xfId="0" applyNumberFormat="1" applyFont="1" applyBorder="1"/>
    <xf numFmtId="3" fontId="0" fillId="0" borderId="9" xfId="0" applyNumberFormat="1" applyBorder="1"/>
    <xf numFmtId="3" fontId="0" fillId="0" borderId="10" xfId="0" applyNumberFormat="1" applyBorder="1"/>
    <xf numFmtId="2" fontId="0" fillId="0" borderId="0" xfId="0" applyNumberFormat="1"/>
    <xf numFmtId="0" fontId="8" fillId="0" borderId="6" xfId="0" applyFont="1" applyBorder="1" applyAlignment="1">
      <alignment horizontal="center"/>
    </xf>
    <xf numFmtId="0" fontId="0" fillId="3" borderId="5" xfId="0" applyFill="1" applyBorder="1"/>
    <xf numFmtId="3" fontId="8" fillId="0" borderId="0" xfId="0" applyNumberFormat="1" applyFont="1"/>
    <xf numFmtId="0" fontId="0" fillId="4" borderId="5" xfId="0" applyFill="1" applyBorder="1"/>
    <xf numFmtId="3" fontId="0" fillId="4" borderId="6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0" fillId="6" borderId="5" xfId="0" applyFill="1" applyBorder="1"/>
    <xf numFmtId="0" fontId="0" fillId="6" borderId="0" xfId="0" applyFill="1"/>
    <xf numFmtId="0" fontId="0" fillId="6" borderId="8" xfId="0" applyFill="1" applyBorder="1"/>
    <xf numFmtId="0" fontId="0" fillId="6" borderId="9" xfId="0" applyFill="1" applyBorder="1"/>
    <xf numFmtId="0" fontId="0" fillId="0" borderId="15" xfId="0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7" borderId="0" xfId="0" applyFill="1"/>
    <xf numFmtId="0" fontId="0" fillId="0" borderId="0" xfId="0" applyAlignment="1">
      <alignment wrapText="1"/>
    </xf>
    <xf numFmtId="165" fontId="0" fillId="0" borderId="0" xfId="0" applyNumberFormat="1" applyAlignment="1">
      <alignment horizontal="center" vertical="center"/>
    </xf>
    <xf numFmtId="14" fontId="10" fillId="0" borderId="2" xfId="0" applyNumberFormat="1" applyFont="1" applyBorder="1" applyAlignment="1">
      <alignment vertical="center"/>
    </xf>
    <xf numFmtId="14" fontId="10" fillId="0" borderId="12" xfId="0" applyNumberFormat="1" applyFont="1" applyBorder="1" applyAlignment="1">
      <alignment vertical="center"/>
    </xf>
    <xf numFmtId="0" fontId="0" fillId="2" borderId="12" xfId="0" applyFill="1" applyBorder="1"/>
    <xf numFmtId="0" fontId="0" fillId="2" borderId="13" xfId="0" applyFill="1" applyBorder="1"/>
    <xf numFmtId="0" fontId="8" fillId="0" borderId="1" xfId="0" applyFont="1" applyBorder="1"/>
    <xf numFmtId="3" fontId="0" fillId="0" borderId="2" xfId="0" applyNumberFormat="1" applyBorder="1"/>
    <xf numFmtId="1" fontId="0" fillId="5" borderId="12" xfId="0" applyNumberFormat="1" applyFill="1" applyBorder="1"/>
    <xf numFmtId="1" fontId="0" fillId="5" borderId="19" xfId="0" applyNumberFormat="1" applyFill="1" applyBorder="1"/>
    <xf numFmtId="0" fontId="0" fillId="0" borderId="5" xfId="0" applyBorder="1" applyAlignment="1">
      <alignment horizontal="center"/>
    </xf>
    <xf numFmtId="0" fontId="7" fillId="0" borderId="5" xfId="0" applyFont="1" applyBorder="1"/>
    <xf numFmtId="0" fontId="0" fillId="0" borderId="5" xfId="0" applyBorder="1" applyAlignment="1">
      <alignment horizontal="left"/>
    </xf>
    <xf numFmtId="2" fontId="0" fillId="0" borderId="13" xfId="0" applyNumberFormat="1" applyBorder="1"/>
    <xf numFmtId="0" fontId="7" fillId="2" borderId="13" xfId="0" applyFont="1" applyFill="1" applyBorder="1"/>
    <xf numFmtId="0" fontId="7" fillId="0" borderId="8" xfId="0" applyFont="1" applyBorder="1"/>
    <xf numFmtId="3" fontId="7" fillId="0" borderId="9" xfId="0" applyNumberFormat="1" applyFont="1" applyBorder="1"/>
    <xf numFmtId="0" fontId="7" fillId="2" borderId="14" xfId="0" applyFont="1" applyFill="1" applyBorder="1"/>
    <xf numFmtId="0" fontId="7" fillId="0" borderId="1" xfId="0" applyFont="1" applyBorder="1"/>
    <xf numFmtId="166" fontId="0" fillId="0" borderId="2" xfId="0" applyNumberFormat="1" applyBorder="1"/>
    <xf numFmtId="166" fontId="0" fillId="0" borderId="12" xfId="0" applyNumberFormat="1" applyBorder="1"/>
    <xf numFmtId="0" fontId="12" fillId="7" borderId="21" xfId="0" applyFont="1" applyFill="1" applyBorder="1"/>
    <xf numFmtId="3" fontId="0" fillId="0" borderId="13" xfId="0" applyNumberFormat="1" applyBorder="1"/>
    <xf numFmtId="0" fontId="0" fillId="0" borderId="13" xfId="0" applyBorder="1"/>
    <xf numFmtId="0" fontId="14" fillId="5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0" fillId="0" borderId="5" xfId="0" applyBorder="1" applyAlignment="1">
      <alignment horizontal="right"/>
    </xf>
    <xf numFmtId="3" fontId="13" fillId="0" borderId="0" xfId="0" applyNumberFormat="1" applyFont="1"/>
    <xf numFmtId="3" fontId="13" fillId="0" borderId="13" xfId="0" applyNumberFormat="1" applyFont="1" applyBorder="1"/>
    <xf numFmtId="2" fontId="0" fillId="0" borderId="22" xfId="0" applyNumberFormat="1" applyBorder="1"/>
    <xf numFmtId="0" fontId="13" fillId="0" borderId="8" xfId="0" applyFont="1" applyBorder="1"/>
    <xf numFmtId="3" fontId="13" fillId="0" borderId="9" xfId="0" applyNumberFormat="1" applyFont="1" applyBorder="1"/>
    <xf numFmtId="3" fontId="13" fillId="0" borderId="14" xfId="0" applyNumberFormat="1" applyFont="1" applyBorder="1"/>
    <xf numFmtId="0" fontId="0" fillId="0" borderId="24" xfId="0" applyBorder="1"/>
    <xf numFmtId="0" fontId="13" fillId="0" borderId="22" xfId="0" applyFont="1" applyBorder="1"/>
    <xf numFmtId="0" fontId="4" fillId="0" borderId="25" xfId="0" applyFont="1" applyBorder="1"/>
    <xf numFmtId="0" fontId="4" fillId="0" borderId="26" xfId="0" applyFont="1" applyBorder="1"/>
    <xf numFmtId="2" fontId="4" fillId="0" borderId="24" xfId="0" applyNumberFormat="1" applyFont="1" applyBorder="1"/>
    <xf numFmtId="2" fontId="4" fillId="0" borderId="6" xfId="0" applyNumberFormat="1" applyFont="1" applyBorder="1"/>
    <xf numFmtId="3" fontId="0" fillId="3" borderId="0" xfId="0" applyNumberFormat="1" applyFill="1"/>
    <xf numFmtId="3" fontId="0" fillId="3" borderId="13" xfId="0" applyNumberFormat="1" applyFill="1" applyBorder="1"/>
    <xf numFmtId="2" fontId="0" fillId="3" borderId="22" xfId="0" applyNumberFormat="1" applyFill="1" applyBorder="1"/>
    <xf numFmtId="0" fontId="15" fillId="7" borderId="21" xfId="0" applyFont="1" applyFill="1" applyBorder="1"/>
    <xf numFmtId="0" fontId="13" fillId="0" borderId="27" xfId="0" applyFont="1" applyBorder="1"/>
    <xf numFmtId="0" fontId="13" fillId="0" borderId="28" xfId="0" applyFont="1" applyBorder="1"/>
    <xf numFmtId="2" fontId="0" fillId="0" borderId="23" xfId="0" applyNumberFormat="1" applyBorder="1"/>
    <xf numFmtId="2" fontId="4" fillId="0" borderId="22" xfId="0" applyNumberFormat="1" applyFont="1" applyBorder="1"/>
    <xf numFmtId="2" fontId="4" fillId="3" borderId="22" xfId="0" applyNumberFormat="1" applyFont="1" applyFill="1" applyBorder="1"/>
    <xf numFmtId="2" fontId="4" fillId="0" borderId="23" xfId="0" applyNumberFormat="1" applyFont="1" applyBorder="1"/>
    <xf numFmtId="0" fontId="13" fillId="0" borderId="5" xfId="0" applyFont="1" applyBorder="1" applyAlignment="1">
      <alignment wrapText="1"/>
    </xf>
    <xf numFmtId="0" fontId="13" fillId="0" borderId="5" xfId="0" applyFont="1" applyBorder="1" applyAlignment="1">
      <alignment horizontal="left"/>
    </xf>
    <xf numFmtId="0" fontId="13" fillId="0" borderId="5" xfId="0" applyFont="1" applyBorder="1"/>
    <xf numFmtId="2" fontId="7" fillId="0" borderId="13" xfId="0" applyNumberFormat="1" applyFont="1" applyBorder="1"/>
    <xf numFmtId="2" fontId="7" fillId="0" borderId="15" xfId="0" applyNumberFormat="1" applyFont="1" applyBorder="1"/>
    <xf numFmtId="2" fontId="0" fillId="0" borderId="15" xfId="0" applyNumberFormat="1" applyBorder="1"/>
    <xf numFmtId="2" fontId="13" fillId="0" borderId="13" xfId="0" applyNumberFormat="1" applyFont="1" applyBorder="1"/>
    <xf numFmtId="2" fontId="13" fillId="0" borderId="15" xfId="0" applyNumberFormat="1" applyFont="1" applyBorder="1"/>
    <xf numFmtId="0" fontId="4" fillId="0" borderId="5" xfId="0" applyFont="1" applyBorder="1" applyAlignment="1">
      <alignment horizontal="left"/>
    </xf>
    <xf numFmtId="2" fontId="7" fillId="0" borderId="20" xfId="0" applyNumberFormat="1" applyFont="1" applyBorder="1"/>
    <xf numFmtId="2" fontId="4" fillId="0" borderId="13" xfId="0" applyNumberFormat="1" applyFont="1" applyBorder="1"/>
    <xf numFmtId="2" fontId="4" fillId="0" borderId="15" xfId="0" applyNumberFormat="1" applyFont="1" applyBorder="1"/>
    <xf numFmtId="0" fontId="13" fillId="8" borderId="16" xfId="0" applyFont="1" applyFill="1" applyBorder="1"/>
    <xf numFmtId="0" fontId="13" fillId="8" borderId="17" xfId="0" applyFont="1" applyFill="1" applyBorder="1"/>
    <xf numFmtId="0" fontId="0" fillId="8" borderId="17" xfId="0" applyFill="1" applyBorder="1"/>
    <xf numFmtId="2" fontId="13" fillId="0" borderId="21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2" fontId="13" fillId="0" borderId="22" xfId="0" applyNumberFormat="1" applyFont="1" applyBorder="1" applyAlignment="1">
      <alignment horizontal="center"/>
    </xf>
    <xf numFmtId="2" fontId="13" fillId="0" borderId="23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/>
    </xf>
    <xf numFmtId="0" fontId="3" fillId="0" borderId="0" xfId="0" applyFont="1"/>
    <xf numFmtId="0" fontId="0" fillId="9" borderId="5" xfId="0" applyFill="1" applyBorder="1"/>
    <xf numFmtId="0" fontId="13" fillId="0" borderId="6" xfId="0" applyFont="1" applyBorder="1"/>
    <xf numFmtId="0" fontId="13" fillId="2" borderId="0" xfId="0" applyFont="1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0" fontId="7" fillId="3" borderId="0" xfId="0" applyFont="1" applyFill="1"/>
    <xf numFmtId="3" fontId="7" fillId="3" borderId="0" xfId="0" applyNumberFormat="1" applyFont="1" applyFill="1"/>
    <xf numFmtId="3" fontId="8" fillId="3" borderId="0" xfId="0" applyNumberFormat="1" applyFont="1" applyFill="1"/>
    <xf numFmtId="0" fontId="0" fillId="4" borderId="0" xfId="0" applyFill="1"/>
    <xf numFmtId="3" fontId="0" fillId="4" borderId="0" xfId="0" applyNumberFormat="1" applyFill="1"/>
    <xf numFmtId="0" fontId="0" fillId="3" borderId="8" xfId="0" applyFill="1" applyBorder="1"/>
    <xf numFmtId="0" fontId="7" fillId="3" borderId="9" xfId="0" applyFont="1" applyFill="1" applyBorder="1"/>
    <xf numFmtId="3" fontId="7" fillId="3" borderId="9" xfId="0" applyNumberFormat="1" applyFont="1" applyFill="1" applyBorder="1"/>
    <xf numFmtId="3" fontId="8" fillId="3" borderId="9" xfId="0" applyNumberFormat="1" applyFont="1" applyFill="1" applyBorder="1"/>
    <xf numFmtId="0" fontId="7" fillId="0" borderId="6" xfId="0" applyFont="1" applyFill="1" applyBorder="1"/>
    <xf numFmtId="3" fontId="2" fillId="0" borderId="0" xfId="0" applyNumberFormat="1" applyFont="1" applyAlignment="1">
      <alignment horizontal="center"/>
    </xf>
    <xf numFmtId="0" fontId="0" fillId="10" borderId="0" xfId="0" applyFill="1"/>
    <xf numFmtId="0" fontId="13" fillId="10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0" xfId="0" applyFont="1"/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7" xfId="0" applyFont="1" applyBorder="1" applyAlignment="1">
      <alignment horizontal="center" vertical="center" textRotation="255" wrapText="1"/>
    </xf>
    <xf numFmtId="0" fontId="6" fillId="0" borderId="11" xfId="0" applyFont="1" applyBorder="1" applyAlignment="1">
      <alignment horizontal="center" vertical="center" textRotation="255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Analizi'!$A$19</c:f>
              <c:strCache>
                <c:ptCount val="1"/>
                <c:pt idx="0">
                  <c:v>Stoklar</c:v>
                </c:pt>
              </c:strCache>
            </c:strRef>
          </c:tx>
          <c:marker>
            <c:symbol val="none"/>
          </c:marker>
          <c:cat>
            <c:numRef>
              <c:f>'Trend Analizi'!$B$18:$G$18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Analizi'!$B$19:$G$19</c:f>
              <c:numCache>
                <c:formatCode>0.0</c:formatCode>
                <c:ptCount val="6"/>
                <c:pt idx="0" formatCode="#,##0">
                  <c:v>100</c:v>
                </c:pt>
                <c:pt idx="1">
                  <c:v>178.1</c:v>
                </c:pt>
                <c:pt idx="2">
                  <c:v>519.4</c:v>
                </c:pt>
                <c:pt idx="3">
                  <c:v>1213.3</c:v>
                </c:pt>
                <c:pt idx="4">
                  <c:v>1514.3</c:v>
                </c:pt>
                <c:pt idx="5">
                  <c:v>1754.8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161-9F59-B9CA9942DF4F}"/>
            </c:ext>
          </c:extLst>
        </c:ser>
        <c:ser>
          <c:idx val="1"/>
          <c:order val="1"/>
          <c:tx>
            <c:strRef>
              <c:f>'Trend Analizi'!$A$20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Analizi'!$B$18:$G$18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Analizi'!$B$20:$G$20</c:f>
              <c:numCache>
                <c:formatCode>0.0</c:formatCode>
                <c:ptCount val="6"/>
                <c:pt idx="0" formatCode="#,##0">
                  <c:v>100</c:v>
                </c:pt>
                <c:pt idx="1">
                  <c:v>182.4</c:v>
                </c:pt>
                <c:pt idx="2">
                  <c:v>529.9</c:v>
                </c:pt>
                <c:pt idx="3">
                  <c:v>1357.9</c:v>
                </c:pt>
                <c:pt idx="4">
                  <c:v>1675.9</c:v>
                </c:pt>
                <c:pt idx="5">
                  <c:v>1757.9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7-4161-9F59-B9CA9942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16128"/>
        <c:axId val="204417664"/>
      </c:lineChart>
      <c:catAx>
        <c:axId val="20441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4417664"/>
        <c:crosses val="autoZero"/>
        <c:auto val="1"/>
        <c:lblAlgn val="ctr"/>
        <c:lblOffset val="100"/>
        <c:noMultiLvlLbl val="0"/>
      </c:catAx>
      <c:valAx>
        <c:axId val="2044176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4416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Analizi'!$A$41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Analizi'!$B$40:$G$40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Analizi'!$B$41:$G$41</c:f>
              <c:numCache>
                <c:formatCode>0.00</c:formatCode>
                <c:ptCount val="6"/>
                <c:pt idx="0">
                  <c:v>100</c:v>
                </c:pt>
                <c:pt idx="1">
                  <c:v>182.4</c:v>
                </c:pt>
                <c:pt idx="2">
                  <c:v>529.9</c:v>
                </c:pt>
                <c:pt idx="3">
                  <c:v>1357.9</c:v>
                </c:pt>
                <c:pt idx="4">
                  <c:v>1675.9</c:v>
                </c:pt>
                <c:pt idx="5">
                  <c:v>1757.9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5-4FF6-868C-C80AC3A22288}"/>
            </c:ext>
          </c:extLst>
        </c:ser>
        <c:ser>
          <c:idx val="1"/>
          <c:order val="1"/>
          <c:tx>
            <c:strRef>
              <c:f>'Trend Analizi'!$A$42</c:f>
              <c:strCache>
                <c:ptCount val="1"/>
                <c:pt idx="0">
                  <c:v>Satışların Maliyeti (-)</c:v>
                </c:pt>
              </c:strCache>
            </c:strRef>
          </c:tx>
          <c:marker>
            <c:symbol val="none"/>
          </c:marker>
          <c:cat>
            <c:numRef>
              <c:f>'Trend Analizi'!$B$40:$G$40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Analizi'!$B$42:$G$42</c:f>
              <c:numCache>
                <c:formatCode>0.00</c:formatCode>
                <c:ptCount val="6"/>
                <c:pt idx="0">
                  <c:v>100</c:v>
                </c:pt>
                <c:pt idx="1">
                  <c:v>161.4</c:v>
                </c:pt>
                <c:pt idx="2">
                  <c:v>446.9</c:v>
                </c:pt>
                <c:pt idx="3">
                  <c:v>1214.0999999999999</c:v>
                </c:pt>
                <c:pt idx="4">
                  <c:v>1536.2</c:v>
                </c:pt>
                <c:pt idx="5">
                  <c:v>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5-4FF6-868C-C80AC3A2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38528"/>
        <c:axId val="204452608"/>
      </c:lineChart>
      <c:catAx>
        <c:axId val="20443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4452608"/>
        <c:crosses val="autoZero"/>
        <c:auto val="1"/>
        <c:lblAlgn val="ctr"/>
        <c:lblOffset val="100"/>
        <c:noMultiLvlLbl val="0"/>
      </c:catAx>
      <c:valAx>
        <c:axId val="2044526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443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Analizi'!$A$64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Analizi'!$B$63:$G$63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Analizi'!$B$64:$G$64</c:f>
              <c:numCache>
                <c:formatCode>0.00</c:formatCode>
                <c:ptCount val="6"/>
                <c:pt idx="0">
                  <c:v>100</c:v>
                </c:pt>
                <c:pt idx="1">
                  <c:v>182.4</c:v>
                </c:pt>
                <c:pt idx="2">
                  <c:v>529.9</c:v>
                </c:pt>
                <c:pt idx="3">
                  <c:v>1357.9</c:v>
                </c:pt>
                <c:pt idx="4">
                  <c:v>1675.9</c:v>
                </c:pt>
                <c:pt idx="5">
                  <c:v>1757.9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0-4113-AC52-A625BD27AC96}"/>
            </c:ext>
          </c:extLst>
        </c:ser>
        <c:ser>
          <c:idx val="1"/>
          <c:order val="1"/>
          <c:tx>
            <c:strRef>
              <c:f>'Trend Analizi'!$A$65</c:f>
              <c:strCache>
                <c:ptCount val="1"/>
                <c:pt idx="0">
                  <c:v>Ticari Alacaklar</c:v>
                </c:pt>
              </c:strCache>
            </c:strRef>
          </c:tx>
          <c:marker>
            <c:symbol val="none"/>
          </c:marker>
          <c:cat>
            <c:numRef>
              <c:f>'Trend Analizi'!$B$63:$G$63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Analizi'!$B$65:$G$65</c:f>
              <c:numCache>
                <c:formatCode>0.00</c:formatCode>
                <c:ptCount val="6"/>
                <c:pt idx="0">
                  <c:v>100</c:v>
                </c:pt>
                <c:pt idx="1">
                  <c:v>140.90760935173634</c:v>
                </c:pt>
                <c:pt idx="2">
                  <c:v>446.33837672528267</c:v>
                </c:pt>
                <c:pt idx="3">
                  <c:v>727.25604603436477</c:v>
                </c:pt>
                <c:pt idx="4">
                  <c:v>2164.8756589272061</c:v>
                </c:pt>
                <c:pt idx="5">
                  <c:v>1728.8151382238141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0-4113-AC52-A625BD27A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93088"/>
        <c:axId val="205994624"/>
      </c:lineChart>
      <c:catAx>
        <c:axId val="20599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5994624"/>
        <c:crosses val="autoZero"/>
        <c:auto val="1"/>
        <c:lblAlgn val="ctr"/>
        <c:lblOffset val="100"/>
        <c:noMultiLvlLbl val="0"/>
      </c:catAx>
      <c:valAx>
        <c:axId val="2059946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5993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Analizi'!$A$86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Analizi'!$B$85:$G$85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Analizi'!$B$86:$G$86</c:f>
              <c:numCache>
                <c:formatCode>0.00</c:formatCode>
                <c:ptCount val="6"/>
                <c:pt idx="0">
                  <c:v>100</c:v>
                </c:pt>
                <c:pt idx="1">
                  <c:v>182.4</c:v>
                </c:pt>
                <c:pt idx="2">
                  <c:v>529.9</c:v>
                </c:pt>
                <c:pt idx="3">
                  <c:v>1357.9</c:v>
                </c:pt>
                <c:pt idx="4">
                  <c:v>1675.9</c:v>
                </c:pt>
                <c:pt idx="5">
                  <c:v>1757.9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1-49BA-A6C3-66B0C3991ED9}"/>
            </c:ext>
          </c:extLst>
        </c:ser>
        <c:ser>
          <c:idx val="1"/>
          <c:order val="1"/>
          <c:tx>
            <c:strRef>
              <c:f>'Trend Analizi'!$A$87</c:f>
              <c:strCache>
                <c:ptCount val="1"/>
                <c:pt idx="0">
                  <c:v>Dönem Karı</c:v>
                </c:pt>
              </c:strCache>
            </c:strRef>
          </c:tx>
          <c:marker>
            <c:symbol val="none"/>
          </c:marker>
          <c:cat>
            <c:numRef>
              <c:f>'Trend Analizi'!$B$85:$G$85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Analizi'!$B$87:$G$87</c:f>
              <c:numCache>
                <c:formatCode>0.00</c:formatCode>
                <c:ptCount val="6"/>
                <c:pt idx="0">
                  <c:v>100</c:v>
                </c:pt>
                <c:pt idx="1">
                  <c:v>29.336014583998949</c:v>
                </c:pt>
                <c:pt idx="2">
                  <c:v>65.537315115863862</c:v>
                </c:pt>
                <c:pt idx="3">
                  <c:v>1251.5828149373226</c:v>
                </c:pt>
                <c:pt idx="4">
                  <c:v>1709.5004604484202</c:v>
                </c:pt>
                <c:pt idx="5">
                  <c:v>1717.6866695483845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1-49BA-A6C3-66B0C3991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27776"/>
        <c:axId val="206033664"/>
      </c:lineChart>
      <c:catAx>
        <c:axId val="20602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033664"/>
        <c:crosses val="autoZero"/>
        <c:auto val="1"/>
        <c:lblAlgn val="ctr"/>
        <c:lblOffset val="100"/>
        <c:noMultiLvlLbl val="0"/>
      </c:catAx>
      <c:valAx>
        <c:axId val="2060336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6027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Analizi'!$L$19</c:f>
              <c:strCache>
                <c:ptCount val="1"/>
                <c:pt idx="0">
                  <c:v>Stoklar</c:v>
                </c:pt>
              </c:strCache>
            </c:strRef>
          </c:tx>
          <c:marker>
            <c:symbol val="none"/>
          </c:marker>
          <c:cat>
            <c:numRef>
              <c:f>'Trend Analizi'!$M$18:$R$18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Analizi'!$M$19:$R$19</c:f>
              <c:numCache>
                <c:formatCode>General</c:formatCode>
                <c:ptCount val="6"/>
                <c:pt idx="1">
                  <c:v>178.06688976561304</c:v>
                </c:pt>
                <c:pt idx="2">
                  <c:v>291.67149267505334</c:v>
                </c:pt>
                <c:pt idx="3">
                  <c:v>233.61506436943574</c:v>
                </c:pt>
                <c:pt idx="4">
                  <c:v>124.80909308247557</c:v>
                </c:pt>
                <c:pt idx="5">
                  <c:v>115.88115334777811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4-481D-AEC8-F18E60213D2D}"/>
            </c:ext>
          </c:extLst>
        </c:ser>
        <c:ser>
          <c:idx val="1"/>
          <c:order val="1"/>
          <c:tx>
            <c:strRef>
              <c:f>'Trend Analizi'!$L$20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Analizi'!$M$18:$R$18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Analizi'!$M$20:$R$20</c:f>
              <c:numCache>
                <c:formatCode>General</c:formatCode>
                <c:ptCount val="6"/>
                <c:pt idx="1">
                  <c:v>182.39555385898484</c:v>
                </c:pt>
                <c:pt idx="2">
                  <c:v>290.51981889120856</c:v>
                </c:pt>
                <c:pt idx="3">
                  <c:v>256.24880462231596</c:v>
                </c:pt>
                <c:pt idx="4">
                  <c:v>123.42061693023815</c:v>
                </c:pt>
                <c:pt idx="5">
                  <c:v>104.89208933807083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4-481D-AEC8-F18E6021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44160"/>
        <c:axId val="205943552"/>
      </c:lineChart>
      <c:catAx>
        <c:axId val="20604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5943552"/>
        <c:crosses val="autoZero"/>
        <c:auto val="1"/>
        <c:lblAlgn val="ctr"/>
        <c:lblOffset val="100"/>
        <c:noMultiLvlLbl val="0"/>
      </c:catAx>
      <c:valAx>
        <c:axId val="20594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04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Analizi'!$L$41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Analizi'!$M$40:$R$40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Analizi'!$M$41:$R$41</c:f>
              <c:numCache>
                <c:formatCode>General</c:formatCode>
                <c:ptCount val="6"/>
                <c:pt idx="1">
                  <c:v>182.39555385898484</c:v>
                </c:pt>
                <c:pt idx="2">
                  <c:v>290.51981889120856</c:v>
                </c:pt>
                <c:pt idx="3">
                  <c:v>256.24880462231596</c:v>
                </c:pt>
                <c:pt idx="4">
                  <c:v>123.42061693023815</c:v>
                </c:pt>
                <c:pt idx="5">
                  <c:v>104.89208933807083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F-464B-92DE-C9F40F1A72CA}"/>
            </c:ext>
          </c:extLst>
        </c:ser>
        <c:ser>
          <c:idx val="1"/>
          <c:order val="1"/>
          <c:tx>
            <c:strRef>
              <c:f>'Trend Analizi'!$L$42</c:f>
              <c:strCache>
                <c:ptCount val="1"/>
                <c:pt idx="0">
                  <c:v>Satışların Maliyeti (-)</c:v>
                </c:pt>
              </c:strCache>
            </c:strRef>
          </c:tx>
          <c:marker>
            <c:symbol val="none"/>
          </c:marker>
          <c:cat>
            <c:numRef>
              <c:f>'Trend Analizi'!$M$40:$R$40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Analizi'!$M$42:$R$42</c:f>
              <c:numCache>
                <c:formatCode>General</c:formatCode>
                <c:ptCount val="6"/>
                <c:pt idx="1">
                  <c:v>161.43930067793593</c:v>
                </c:pt>
                <c:pt idx="2">
                  <c:v>276.84560387861887</c:v>
                </c:pt>
                <c:pt idx="3">
                  <c:v>271.65744446666173</c:v>
                </c:pt>
                <c:pt idx="4">
                  <c:v>126.52700795823392</c:v>
                </c:pt>
                <c:pt idx="5">
                  <c:v>106.23219137736233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F-464B-92DE-C9F40F1A7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56224"/>
        <c:axId val="205957760"/>
      </c:lineChart>
      <c:catAx>
        <c:axId val="20595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5957760"/>
        <c:crosses val="autoZero"/>
        <c:auto val="1"/>
        <c:lblAlgn val="ctr"/>
        <c:lblOffset val="100"/>
        <c:noMultiLvlLbl val="0"/>
      </c:catAx>
      <c:valAx>
        <c:axId val="205957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5956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Analizi'!$L$64</c:f>
              <c:strCache>
                <c:ptCount val="1"/>
                <c:pt idx="0">
                  <c:v>Ticari Alacaklar</c:v>
                </c:pt>
              </c:strCache>
            </c:strRef>
          </c:tx>
          <c:marker>
            <c:symbol val="none"/>
          </c:marker>
          <c:cat>
            <c:numRef>
              <c:f>'Trend Analizi'!$M$63:$R$63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Analizi'!$M$64:$R$64</c:f>
              <c:numCache>
                <c:formatCode>General</c:formatCode>
                <c:ptCount val="6"/>
                <c:pt idx="1">
                  <c:v>140.90760935173634</c:v>
                </c:pt>
                <c:pt idx="2">
                  <c:v>316.75959785189741</c:v>
                </c:pt>
                <c:pt idx="3">
                  <c:v>162.93827373082564</c:v>
                </c:pt>
                <c:pt idx="4">
                  <c:v>297.67723083664947</c:v>
                </c:pt>
                <c:pt idx="5">
                  <c:v>79.857479624512024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1-4ECC-B081-C19735060FF5}"/>
            </c:ext>
          </c:extLst>
        </c:ser>
        <c:ser>
          <c:idx val="1"/>
          <c:order val="1"/>
          <c:tx>
            <c:strRef>
              <c:f>'Trend Analizi'!$L$65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Analizi'!$M$63:$R$63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Analizi'!$M$65:$R$65</c:f>
              <c:numCache>
                <c:formatCode>General</c:formatCode>
                <c:ptCount val="6"/>
                <c:pt idx="1">
                  <c:v>182.39555385898484</c:v>
                </c:pt>
                <c:pt idx="2">
                  <c:v>290.51981889120856</c:v>
                </c:pt>
                <c:pt idx="3">
                  <c:v>256.24880462231596</c:v>
                </c:pt>
                <c:pt idx="4">
                  <c:v>123.42061693023815</c:v>
                </c:pt>
                <c:pt idx="5">
                  <c:v>104.89208933807083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1-4ECC-B081-C1973506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17504"/>
        <c:axId val="206119296"/>
      </c:lineChart>
      <c:catAx>
        <c:axId val="20611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119296"/>
        <c:crosses val="autoZero"/>
        <c:auto val="1"/>
        <c:lblAlgn val="ctr"/>
        <c:lblOffset val="100"/>
        <c:noMultiLvlLbl val="0"/>
      </c:catAx>
      <c:valAx>
        <c:axId val="20611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11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Analizi'!$L$86</c:f>
              <c:strCache>
                <c:ptCount val="1"/>
                <c:pt idx="0">
                  <c:v>Satışlar</c:v>
                </c:pt>
              </c:strCache>
            </c:strRef>
          </c:tx>
          <c:marker>
            <c:symbol val="none"/>
          </c:marker>
          <c:cat>
            <c:numRef>
              <c:f>'Trend Analizi'!$M$85:$R$85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Analizi'!$M$86:$R$86</c:f>
              <c:numCache>
                <c:formatCode>General</c:formatCode>
                <c:ptCount val="6"/>
                <c:pt idx="1">
                  <c:v>182.39555385898484</c:v>
                </c:pt>
                <c:pt idx="2">
                  <c:v>290.51981889120856</c:v>
                </c:pt>
                <c:pt idx="3">
                  <c:v>256.24880462231596</c:v>
                </c:pt>
                <c:pt idx="4">
                  <c:v>123.42061693023815</c:v>
                </c:pt>
                <c:pt idx="5">
                  <c:v>104.89208933807083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B-4E18-A498-CA1ACB7F4440}"/>
            </c:ext>
          </c:extLst>
        </c:ser>
        <c:ser>
          <c:idx val="1"/>
          <c:order val="1"/>
          <c:tx>
            <c:strRef>
              <c:f>'Trend Analizi'!$L$87</c:f>
              <c:strCache>
                <c:ptCount val="1"/>
                <c:pt idx="0">
                  <c:v>Dönem Karı</c:v>
                </c:pt>
              </c:strCache>
            </c:strRef>
          </c:tx>
          <c:marker>
            <c:symbol val="none"/>
          </c:marker>
          <c:cat>
            <c:numRef>
              <c:f>'Trend Analizi'!$M$85:$R$85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'Trend Analizi'!$M$87:$R$87</c:f>
              <c:numCache>
                <c:formatCode>General</c:formatCode>
                <c:ptCount val="6"/>
                <c:pt idx="1">
                  <c:v>29.336014583998949</c:v>
                </c:pt>
                <c:pt idx="2">
                  <c:v>223.40224480120955</c:v>
                </c:pt>
                <c:pt idx="3">
                  <c:v>1909.7254941320696</c:v>
                </c:pt>
                <c:pt idx="4">
                  <c:v>136.58708317547726</c:v>
                </c:pt>
                <c:pt idx="5">
                  <c:v>100.47886556858938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B-4E18-A498-CA1ACB7F4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52448"/>
        <c:axId val="206153984"/>
      </c:lineChart>
      <c:catAx>
        <c:axId val="20615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6153984"/>
        <c:crosses val="autoZero"/>
        <c:auto val="1"/>
        <c:lblAlgn val="ctr"/>
        <c:lblOffset val="100"/>
        <c:noMultiLvlLbl val="0"/>
      </c:catAx>
      <c:valAx>
        <c:axId val="206153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152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37246</xdr:colOff>
      <xdr:row>22</xdr:row>
      <xdr:rowOff>26620</xdr:rowOff>
    </xdr:from>
    <xdr:to>
      <xdr:col>5</xdr:col>
      <xdr:colOff>799246</xdr:colOff>
      <xdr:row>37</xdr:row>
      <xdr:rowOff>22224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43</xdr:row>
      <xdr:rowOff>173567</xdr:rowOff>
    </xdr:from>
    <xdr:to>
      <xdr:col>5</xdr:col>
      <xdr:colOff>809625</xdr:colOff>
      <xdr:row>59</xdr:row>
      <xdr:rowOff>38100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67</xdr:row>
      <xdr:rowOff>25400</xdr:rowOff>
    </xdr:from>
    <xdr:to>
      <xdr:col>5</xdr:col>
      <xdr:colOff>809625</xdr:colOff>
      <xdr:row>82</xdr:row>
      <xdr:rowOff>69850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26459</xdr:colOff>
      <xdr:row>89</xdr:row>
      <xdr:rowOff>25400</xdr:rowOff>
    </xdr:from>
    <xdr:to>
      <xdr:col>5</xdr:col>
      <xdr:colOff>788459</xdr:colOff>
      <xdr:row>104</xdr:row>
      <xdr:rowOff>69850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37042</xdr:colOff>
      <xdr:row>22</xdr:row>
      <xdr:rowOff>35983</xdr:rowOff>
    </xdr:from>
    <xdr:to>
      <xdr:col>16</xdr:col>
      <xdr:colOff>777875</xdr:colOff>
      <xdr:row>37</xdr:row>
      <xdr:rowOff>80433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58209</xdr:colOff>
      <xdr:row>44</xdr:row>
      <xdr:rowOff>57149</xdr:rowOff>
    </xdr:from>
    <xdr:to>
      <xdr:col>16</xdr:col>
      <xdr:colOff>799042</xdr:colOff>
      <xdr:row>59</xdr:row>
      <xdr:rowOff>101599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26459</xdr:colOff>
      <xdr:row>67</xdr:row>
      <xdr:rowOff>57150</xdr:rowOff>
    </xdr:from>
    <xdr:to>
      <xdr:col>16</xdr:col>
      <xdr:colOff>767292</xdr:colOff>
      <xdr:row>82</xdr:row>
      <xdr:rowOff>101600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1328208</xdr:colOff>
      <xdr:row>89</xdr:row>
      <xdr:rowOff>25400</xdr:rowOff>
    </xdr:from>
    <xdr:to>
      <xdr:col>16</xdr:col>
      <xdr:colOff>724958</xdr:colOff>
      <xdr:row>104</xdr:row>
      <xdr:rowOff>69850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143224</xdr:colOff>
      <xdr:row>2</xdr:row>
      <xdr:rowOff>106362</xdr:rowOff>
    </xdr:from>
    <xdr:ext cx="2268698" cy="3518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9766935" y="500380"/>
              <a:ext cx="2268855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𝐶𝐴𝑅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ö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𝑛𝑒𝑛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𝑣𝑎𝑟𝑙𝚤𝑘𝑎𝑟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𝐾𝚤𝑠𝑎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𝑉𝑎𝑑𝑒𝑙𝑖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𝐵𝑜𝑟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ç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𝑙𝑎𝑟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2" name="Metin kutusu 1"/>
            <xdr:cNvSpPr txBox="1"/>
          </xdr:nvSpPr>
          <xdr:spPr>
            <a:xfrm>
              <a:off x="9766935" y="500380"/>
              <a:ext cx="2268855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𝐶𝐴𝑅</a:t>
              </a:r>
              <a:r>
                <a:rPr lang="tr-TR" sz="1100" b="0" kern="1200">
                  <a:latin typeface="Cambria Math" panose="02040503050406030204" pitchFamily="18" charset="0"/>
                </a:rPr>
                <a:t>İ 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𝐷</a:t>
              </a:r>
              <a:r>
                <a:rPr lang="tr-TR" sz="1100" b="0" kern="1200">
                  <a:latin typeface="Cambria Math" panose="02040503050406030204" pitchFamily="18" charset="0"/>
                </a:rPr>
                <a:t>ö</a:t>
              </a:r>
              <a:r>
                <a:rPr lang="tr-TR" sz="1100" b="0" kern="1200">
                  <a:latin typeface="Cambria Math" panose="02040503050406030204" pitchFamily="18" charset="0"/>
                </a:rPr>
                <a:t>𝑛𝑒𝑛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𝑣𝑎𝑟𝑙𝚤𝑘𝑎𝑟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𝐾𝚤𝑠𝑎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𝑉𝑎𝑑𝑒𝑙𝑖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𝐵𝑜𝑟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𝑙𝑎𝑟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143224</xdr:colOff>
      <xdr:row>8</xdr:row>
      <xdr:rowOff>106362</xdr:rowOff>
    </xdr:from>
    <xdr:ext cx="2995820" cy="3518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Metin kutusu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9766935" y="1635760"/>
              <a:ext cx="299593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𝐴𝑆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𝑇𝐸𝑆𝑇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ö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𝑛𝑒𝑛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𝑣𝑎𝑟𝑙𝚤𝑘𝑎𝑟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𝑆𝑡𝑜𝑘𝑙𝑎𝑟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𝐾𝚤𝑠𝑎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𝑉𝑎𝑑𝑒𝑙𝑖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𝐵𝑜𝑟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ç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𝑙𝑎𝑟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3" name="Metin kutusu 2"/>
            <xdr:cNvSpPr txBox="1"/>
          </xdr:nvSpPr>
          <xdr:spPr>
            <a:xfrm>
              <a:off x="9766935" y="1635760"/>
              <a:ext cx="299593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𝐴𝑆</a:t>
              </a:r>
              <a:r>
                <a:rPr lang="tr-TR" sz="1100" b="0" kern="1200">
                  <a:latin typeface="Cambria Math" panose="02040503050406030204" pitchFamily="18" charset="0"/>
                </a:rPr>
                <a:t>İ</a:t>
              </a:r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𝑇𝐸𝑆𝑇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𝐷</a:t>
              </a:r>
              <a:r>
                <a:rPr lang="tr-TR" sz="1100" b="0" kern="1200">
                  <a:latin typeface="Cambria Math" panose="02040503050406030204" pitchFamily="18" charset="0"/>
                </a:rPr>
                <a:t>ö</a:t>
              </a:r>
              <a:r>
                <a:rPr lang="tr-TR" sz="1100" b="0" kern="1200">
                  <a:latin typeface="Cambria Math" panose="02040503050406030204" pitchFamily="18" charset="0"/>
                </a:rPr>
                <a:t>𝑛𝑒𝑛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𝑣𝑎𝑟𝑙𝚤𝑘𝑎𝑟</a:t>
              </a:r>
              <a:r>
                <a:rPr lang="tr-TR" sz="1100" b="0" kern="1200">
                  <a:latin typeface="Cambria Math" panose="02040503050406030204" pitchFamily="18" charset="0"/>
                </a:rPr>
                <a:t> −</a:t>
              </a:r>
              <a:r>
                <a:rPr lang="tr-TR" sz="1100" b="0" kern="1200">
                  <a:latin typeface="Cambria Math" panose="02040503050406030204" pitchFamily="18" charset="0"/>
                </a:rPr>
                <a:t>𝑆𝑡𝑜𝑘𝑙𝑎𝑟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𝐾𝚤𝑠𝑎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𝑉𝑎𝑑𝑒𝑙𝑖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𝐵𝑜𝑟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𝑙𝑎𝑟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59404</xdr:colOff>
      <xdr:row>13</xdr:row>
      <xdr:rowOff>68262</xdr:rowOff>
    </xdr:from>
    <xdr:ext cx="4437882" cy="3518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9683115" y="2550160"/>
              <a:ext cx="4438015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𝐴𝑆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𝑇𝐸𝑆𝑇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𝑁𝑎𝑘𝑖𝑡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𝑣𝑒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𝑁𝑎𝑘𝑖𝑡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𝐵𝑒𝑛𝑧𝑒𝑟𝑙𝑒𝑟𝑖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𝐹𝑖𝑛𝑎𝑛𝑠𝑎𝑙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𝑌𝑎𝑡𝚤𝑟𝚤𝑚𝑙𝑎𝑟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𝐾𝚤𝑠𝑎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𝑉𝑎𝑑𝑒𝑙𝑖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𝐵𝑜𝑟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ç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𝑙𝑎𝑟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4" name="Metin kutusu 3"/>
            <xdr:cNvSpPr txBox="1"/>
          </xdr:nvSpPr>
          <xdr:spPr>
            <a:xfrm>
              <a:off x="9683115" y="2550160"/>
              <a:ext cx="4438015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𝐴𝑆</a:t>
              </a:r>
              <a:r>
                <a:rPr lang="tr-TR" sz="1100" b="0" kern="1200">
                  <a:latin typeface="Cambria Math" panose="02040503050406030204" pitchFamily="18" charset="0"/>
                </a:rPr>
                <a:t>İ</a:t>
              </a:r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𝑇𝐸𝑆𝑇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𝑁𝑎𝑘𝑖𝑡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𝑣𝑒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𝑁𝑎𝑘𝑖𝑡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𝐵𝑒𝑛𝑧𝑒𝑟𝑙𝑒𝑟𝑖</a:t>
              </a:r>
              <a:r>
                <a:rPr lang="tr-TR" sz="1100" b="0" kern="1200">
                  <a:latin typeface="Cambria Math" panose="02040503050406030204" pitchFamily="18" charset="0"/>
                </a:rPr>
                <a:t>+</a:t>
              </a:r>
              <a:r>
                <a:rPr lang="tr-TR" sz="1100" b="0" kern="1200">
                  <a:latin typeface="Cambria Math" panose="02040503050406030204" pitchFamily="18" charset="0"/>
                </a:rPr>
                <a:t>𝐹𝑖𝑛𝑎𝑛𝑠𝑎𝑙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𝑌𝑎𝑡𝚤𝑟𝚤𝑚𝑙𝑎𝑟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𝐾𝚤𝑠𝑎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𝑉𝑎𝑑𝑒𝑙𝑖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𝐵𝑜𝑟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𝑙𝑎𝑟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143224</xdr:colOff>
      <xdr:row>18</xdr:row>
      <xdr:rowOff>106362</xdr:rowOff>
    </xdr:from>
    <xdr:ext cx="4042517" cy="3518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Metin kutusu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 txBox="1"/>
          </xdr:nvSpPr>
          <xdr:spPr>
            <a:xfrm>
              <a:off x="9766935" y="3540760"/>
              <a:ext cx="404241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𝐵𝑂𝑅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Ç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𝐿𝐴𝑁𝑀𝐴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tr-TR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𝑁𝐴𝑁𝑆𝐴𝐿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𝐾𝐴𝐿𝐷𝐼𝑅𝐴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Ç</m:t>
                        </m:r>
                      </m:e>
                    </m:d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𝑇𝑜𝑝𝑙𝑎𝑚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𝐵𝑜𝑟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ç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𝑙𝑎𝑟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𝑇𝑜𝑝𝑙𝑎𝑚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𝐴𝑘𝑡𝑖𝑓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5" name="Metin kutusu 4"/>
            <xdr:cNvSpPr txBox="1"/>
          </xdr:nvSpPr>
          <xdr:spPr>
            <a:xfrm>
              <a:off x="9766935" y="3540760"/>
              <a:ext cx="4042410" cy="3517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𝐵𝑂𝑅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𝐿𝐴𝑁𝑀𝐴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(</a:t>
              </a:r>
              <a:r>
                <a:rPr lang="tr-TR" sz="1100" b="0" kern="1200">
                  <a:latin typeface="Cambria Math" panose="02040503050406030204" pitchFamily="18" charset="0"/>
                </a:rPr>
                <a:t>𝐹</a:t>
              </a:r>
              <a:r>
                <a:rPr lang="tr-TR" sz="1100" b="0" kern="1200">
                  <a:latin typeface="Cambria Math" panose="02040503050406030204" pitchFamily="18" charset="0"/>
                </a:rPr>
                <a:t>İ</a:t>
              </a:r>
              <a:r>
                <a:rPr lang="tr-TR" sz="1100" b="0" kern="1200">
                  <a:latin typeface="Cambria Math" panose="02040503050406030204" pitchFamily="18" charset="0"/>
                </a:rPr>
                <a:t>𝑁𝐴𝑁𝑆𝐴𝐿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𝐾𝐴𝐿𝐷𝐼𝑅𝐴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)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𝑇𝑜𝑝𝑙𝑎𝑚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𝐵𝑜𝑟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𝑙𝑎𝑟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𝑇𝑜𝑝𝑙𝑎𝑚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𝐴𝑘𝑡𝑖𝑓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143224</xdr:colOff>
      <xdr:row>23</xdr:row>
      <xdr:rowOff>106362</xdr:rowOff>
    </xdr:from>
    <xdr:ext cx="2738635" cy="318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Metin kutusu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 txBox="1"/>
          </xdr:nvSpPr>
          <xdr:spPr>
            <a:xfrm>
              <a:off x="9766935" y="4493260"/>
              <a:ext cx="2738755" cy="318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𝐵𝑂𝑅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Ç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𝐿𝐴𝑅𝐼𝑁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𝑉𝐴𝐷𝐸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𝑌𝐴𝑃𝐼𝑆𝐼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𝐾𝑉𝑌𝐾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𝑈𝑉𝑌𝐾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6" name="Metin kutusu 5"/>
            <xdr:cNvSpPr txBox="1"/>
          </xdr:nvSpPr>
          <xdr:spPr>
            <a:xfrm>
              <a:off x="9766935" y="4493260"/>
              <a:ext cx="2738755" cy="3187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𝐵𝑂𝑅</a:t>
              </a:r>
              <a:r>
                <a:rPr lang="tr-TR" sz="1100" b="0" kern="1200">
                  <a:latin typeface="Cambria Math" panose="02040503050406030204" pitchFamily="18" charset="0"/>
                </a:rPr>
                <a:t>Ç</a:t>
              </a:r>
              <a:r>
                <a:rPr lang="tr-TR" sz="1100" b="0" kern="1200">
                  <a:latin typeface="Cambria Math" panose="02040503050406030204" pitchFamily="18" charset="0"/>
                </a:rPr>
                <a:t>𝐿𝐴𝑅𝐼𝑁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𝑉𝐴𝐷𝐸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𝑌𝐴𝑃𝐼𝑆𝐼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𝐾𝑉𝑌𝐾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𝑈𝑉𝑌𝐾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60960</xdr:colOff>
      <xdr:row>27</xdr:row>
      <xdr:rowOff>15240</xdr:rowOff>
    </xdr:from>
    <xdr:ext cx="3952013" cy="476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Metin kutusu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>
              <a:off x="9685020" y="5172075"/>
              <a:ext cx="3951605" cy="476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𝐵𝑂𝑅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Ç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𝐿𝐴𝑅𝐼𝑁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𝑉𝐴𝐷𝐸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𝑌𝐴𝑃𝐼𝑆𝐼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𝑂𝑅𝐴𝑁𝐼</m:t>
                    </m:r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𝐷𝑈𝑅𝐴𝑁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𝑉𝐴𝑅𝐿𝐼𝐾𝐿𝐴𝑅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Ö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𝐾𝐴𝑌𝑁𝐴𝐾𝐿𝐴𝑅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𝑈𝑉𝑌𝐾</m:t>
                        </m:r>
                      </m:den>
                    </m:f>
                  </m:oMath>
                </m:oMathPara>
              </a14:m>
              <a:endParaRPr lang="tr-TR" sz="1100" i="1" kern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7" name="Metin kutusu 6"/>
            <xdr:cNvSpPr txBox="1"/>
          </xdr:nvSpPr>
          <xdr:spPr>
            <a:xfrm>
              <a:off x="9685020" y="5172075"/>
              <a:ext cx="3951605" cy="4762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𝐵𝑂𝑅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Ç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𝐿𝐴𝑅𝐼𝑁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𝑉𝐴𝐷𝐸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𝑌𝐴𝑃𝐼𝑆𝐼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𝑂𝑅𝐴𝑁𝐼</a:t>
              </a:r>
              <a:r>
                <a:rPr lang="tr-TR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𝐷𝑈𝑅𝐴𝑁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𝑉𝐴𝑅𝐿𝐼𝐾𝐿𝐴𝑅</a:t>
              </a:r>
              <a:r>
                <a:rPr lang="tr-TR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Ö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𝐾𝐴𝑌𝑁𝐴𝐾𝐿𝐴𝑅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tr-TR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𝑈𝑉𝑌𝐾</a:t>
              </a:r>
              <a:endParaRPr lang="tr-TR" sz="1100" i="1" kern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143224</xdr:colOff>
      <xdr:row>30</xdr:row>
      <xdr:rowOff>106362</xdr:rowOff>
    </xdr:from>
    <xdr:ext cx="2036198" cy="341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Metin kutusu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 txBox="1"/>
          </xdr:nvSpPr>
          <xdr:spPr>
            <a:xfrm>
              <a:off x="9766935" y="5830570"/>
              <a:ext cx="2036445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𝐵𝑅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Ü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𝐾𝐴𝑅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𝑀𝐴𝑅𝐽𝐼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𝐵𝑅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Ü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𝐾𝐴𝑅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𝐻𝐴𝑆𝐼𝐿𝐴𝑇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8" name="Metin kutusu 7"/>
            <xdr:cNvSpPr txBox="1"/>
          </xdr:nvSpPr>
          <xdr:spPr>
            <a:xfrm>
              <a:off x="9766935" y="5830570"/>
              <a:ext cx="2036445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𝐵𝑅</a:t>
              </a:r>
              <a:r>
                <a:rPr lang="tr-TR" sz="1100" b="0" kern="1200">
                  <a:latin typeface="Cambria Math" panose="02040503050406030204" pitchFamily="18" charset="0"/>
                </a:rPr>
                <a:t>Ü</a:t>
              </a:r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𝐾𝐴𝑅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𝑀𝐴𝑅𝐽𝐼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𝐵𝑅</a:t>
              </a:r>
              <a:r>
                <a:rPr lang="tr-TR" sz="1100" b="0" kern="1200">
                  <a:latin typeface="Cambria Math" panose="02040503050406030204" pitchFamily="18" charset="0"/>
                </a:rPr>
                <a:t>Ü</a:t>
              </a:r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𝐾𝐴𝑅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𝐻𝐴𝑆𝐼𝐿𝐴𝑇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143224</xdr:colOff>
      <xdr:row>34</xdr:row>
      <xdr:rowOff>106362</xdr:rowOff>
    </xdr:from>
    <xdr:ext cx="2804229" cy="3412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Metin kutusu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 txBox="1"/>
          </xdr:nvSpPr>
          <xdr:spPr>
            <a:xfrm>
              <a:off x="9766935" y="6600190"/>
              <a:ext cx="2804160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𝐷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Ö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𝑁𝐸𝑀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tr-TR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𝑁𝐸𝑇</m:t>
                        </m:r>
                      </m:e>
                    </m:d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𝐾𝐴𝑅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𝑀𝐴𝑅𝐽𝐼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Ö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𝑁𝐸𝑀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𝐾𝐴𝑅𝐼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𝐻𝐴𝑆𝐼𝐿𝐴𝑇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9" name="Metin kutusu 8"/>
            <xdr:cNvSpPr txBox="1"/>
          </xdr:nvSpPr>
          <xdr:spPr>
            <a:xfrm>
              <a:off x="9766935" y="6600190"/>
              <a:ext cx="2804160" cy="3409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𝐷</a:t>
              </a:r>
              <a:r>
                <a:rPr lang="tr-TR" sz="1100" b="0" kern="1200">
                  <a:latin typeface="Cambria Math" panose="02040503050406030204" pitchFamily="18" charset="0"/>
                </a:rPr>
                <a:t>Ö</a:t>
              </a:r>
              <a:r>
                <a:rPr lang="tr-TR" sz="1100" b="0" kern="1200">
                  <a:latin typeface="Cambria Math" panose="02040503050406030204" pitchFamily="18" charset="0"/>
                </a:rPr>
                <a:t>𝑁𝐸𝑀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(</a:t>
              </a:r>
              <a:r>
                <a:rPr lang="tr-TR" sz="1100" b="0" kern="1200">
                  <a:latin typeface="Cambria Math" panose="02040503050406030204" pitchFamily="18" charset="0"/>
                </a:rPr>
                <a:t>𝑁𝐸𝑇</a:t>
              </a:r>
              <a:r>
                <a:rPr lang="tr-TR" sz="1100" b="0" kern="1200">
                  <a:latin typeface="Cambria Math" panose="02040503050406030204" pitchFamily="18" charset="0"/>
                </a:rPr>
                <a:t>)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𝐾𝐴𝑅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𝑀𝐴𝑅𝐽𝐼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𝐷</a:t>
              </a:r>
              <a:r>
                <a:rPr lang="tr-TR" sz="1100" b="0" kern="1200">
                  <a:latin typeface="Cambria Math" panose="02040503050406030204" pitchFamily="18" charset="0"/>
                </a:rPr>
                <a:t>Ö</a:t>
              </a:r>
              <a:r>
                <a:rPr lang="tr-TR" sz="1100" b="0" kern="1200">
                  <a:latin typeface="Cambria Math" panose="02040503050406030204" pitchFamily="18" charset="0"/>
                </a:rPr>
                <a:t>𝑁𝐸𝑀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𝐾𝐴𝑅𝐼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𝐻𝐴𝑆𝐼𝐿𝐴𝑇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36544</xdr:colOff>
      <xdr:row>41</xdr:row>
      <xdr:rowOff>68262</xdr:rowOff>
    </xdr:from>
    <xdr:ext cx="3293529" cy="3419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Metin kutusu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 txBox="1"/>
          </xdr:nvSpPr>
          <xdr:spPr>
            <a:xfrm>
              <a:off x="9660255" y="7514590"/>
              <a:ext cx="3293745" cy="3416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𝑆𝑇𝑂𝐾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𝐷𝐸𝑉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𝐻𝐼𝑍𝐼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𝑆𝐴𝑇𝐼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Ş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𝐿𝐴𝑅𝐼𝑁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𝑀𝐴𝐿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𝑌𝐸𝑇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İ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𝑂𝑅𝑇𝐴𝐿𝐴𝑀𝐴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𝑆𝑇𝑂𝐾𝐿𝐴𝑅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="">
        <xdr:sp macro="" textlink="">
          <xdr:nvSpPr>
            <xdr:cNvPr id="12" name="Metin kutusu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 txBox="1"/>
          </xdr:nvSpPr>
          <xdr:spPr>
            <a:xfrm>
              <a:off x="9660255" y="7514590"/>
              <a:ext cx="3293745" cy="3416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tr-TR" sz="1100" b="0" i="0" kern="1200">
                  <a:latin typeface="Cambria Math" panose="02040503050406030204" pitchFamily="18" charset="0"/>
                </a:rPr>
                <a:t>𝑆𝑇𝑂𝐾 𝐷𝐸𝑉İ𝑅 𝐻𝐼𝑍𝐼 𝑂𝑅𝐴𝑁𝐼</a:t>
              </a:r>
              <a:r>
                <a:rPr lang="tr-TR" sz="1100" i="0" kern="1200">
                  <a:latin typeface="Cambria Math" panose="02040503050406030204" pitchFamily="18" charset="0"/>
                </a:rPr>
                <a:t>=</a:t>
              </a:r>
              <a:r>
                <a:rPr lang="tr-TR" sz="1100" b="0" i="0" kern="1200">
                  <a:latin typeface="Cambria Math" panose="02040503050406030204" pitchFamily="18" charset="0"/>
                </a:rPr>
                <a:t>  (𝑆𝐴𝑇𝐼Ş𝐿𝐴𝑅𝐼𝑁 𝑀𝐴𝐿İ𝑌𝐸𝑇İ)/(𝑂𝑅𝑇𝐴𝐿𝐴𝑀𝐴 𝑆𝑇𝑂𝐾𝐿𝐴𝑅)</a:t>
              </a:r>
              <a:endParaRPr lang="tr-TR" sz="1100" kern="1200"/>
            </a:p>
          </xdr:txBody>
        </xdr:sp>
      </mc:Fallback>
    </mc:AlternateContent>
    <xdr:clientData/>
  </xdr:oneCellAnchor>
  <xdr:oneCellAnchor>
    <xdr:from>
      <xdr:col>9</xdr:col>
      <xdr:colOff>36544</xdr:colOff>
      <xdr:row>55</xdr:row>
      <xdr:rowOff>68262</xdr:rowOff>
    </xdr:from>
    <xdr:ext cx="4174925" cy="3200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Metin kutusu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 txBox="1"/>
          </xdr:nvSpPr>
          <xdr:spPr>
            <a:xfrm>
              <a:off x="9660255" y="10478770"/>
              <a:ext cx="4175125" cy="320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𝐶𝐴𝑅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𝐴𝐿𝐴𝐶𝐴𝐾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𝐷𝐸𝑉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İ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𝑅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𝐻𝐼𝑍𝐼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𝑂𝑅𝐴𝑁𝐼</m:t>
                    </m:r>
                    <m:r>
                      <a:rPr lang="tr-TR" sz="110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 kern="120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tr-TR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𝐻𝐴𝑆𝐼𝐿𝐴𝑇</m:t>
                        </m:r>
                      </m:num>
                      <m:den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𝑂𝑅𝑇𝐴𝐿𝐴𝑀𝐴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. </m:t>
                        </m:r>
                        <m:r>
                          <a:rPr lang="tr-TR" sz="1100" b="0" i="1" kern="1200">
                            <a:latin typeface="Cambria Math" panose="02040503050406030204" pitchFamily="18" charset="0"/>
                          </a:rPr>
                          <m:t>𝐴𝐿𝐴𝐶𝐴𝐾𝐿𝐴𝑅</m:t>
                        </m:r>
                      </m:den>
                    </m:f>
                  </m:oMath>
                </m:oMathPara>
              </a14:m>
              <a:endParaRPr lang="tr-TR" sz="1100" kern="1200"/>
            </a:p>
          </xdr:txBody>
        </xdr:sp>
      </mc:Choice>
      <mc:Fallback xmlns:r="http://schemas.openxmlformats.org/officeDocument/2006/relationships" xmlns="">
        <xdr:sp>
          <xdr:nvSpPr>
            <xdr:cNvPr id="14" name="Metin kutusu 13"/>
            <xdr:cNvSpPr txBox="1"/>
          </xdr:nvSpPr>
          <xdr:spPr>
            <a:xfrm>
              <a:off x="9660255" y="10478770"/>
              <a:ext cx="4175125" cy="320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İ</a:t>
              </a:r>
              <a:r>
                <a:rPr lang="tr-TR" sz="1100" b="0" kern="1200">
                  <a:latin typeface="Cambria Math" panose="02040503050406030204" pitchFamily="18" charset="0"/>
                </a:rPr>
                <a:t>𝐶𝐴𝑅</a:t>
              </a:r>
              <a:r>
                <a:rPr lang="tr-TR" sz="1100" b="0" kern="1200">
                  <a:latin typeface="Cambria Math" panose="02040503050406030204" pitchFamily="18" charset="0"/>
                </a:rPr>
                <a:t>İ </a:t>
              </a:r>
              <a:r>
                <a:rPr lang="tr-TR" sz="1100" b="0" kern="1200">
                  <a:latin typeface="Cambria Math" panose="02040503050406030204" pitchFamily="18" charset="0"/>
                </a:rPr>
                <a:t>𝐴𝐿𝐴𝐶𝐴𝐾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𝐷𝐸𝑉</a:t>
              </a:r>
              <a:r>
                <a:rPr lang="tr-TR" sz="1100" b="0" kern="1200">
                  <a:latin typeface="Cambria Math" panose="02040503050406030204" pitchFamily="18" charset="0"/>
                </a:rPr>
                <a:t>İ</a:t>
              </a:r>
              <a:r>
                <a:rPr lang="tr-TR" sz="1100" b="0" kern="1200">
                  <a:latin typeface="Cambria Math" panose="02040503050406030204" pitchFamily="18" charset="0"/>
                </a:rPr>
                <a:t>𝑅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𝐻𝐼𝑍𝐼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𝑂𝑅𝐴𝑁𝐼</a:t>
              </a:r>
              <a:r>
                <a:rPr lang="tr-TR" sz="1100" kern="1200">
                  <a:latin typeface="Cambria Math" panose="02040503050406030204" pitchFamily="18" charset="0"/>
                </a:rPr>
                <a:t>=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𝐻𝐴𝑆𝐼𝐿𝐴𝑇</a:t>
              </a:r>
              <a:r>
                <a:rPr lang="tr-TR" sz="1100" kern="1200">
                  <a:latin typeface="Cambria Math" panose="02040503050406030204" pitchFamily="18" charset="0"/>
                </a:rPr>
                <a:t>/</a:t>
              </a:r>
              <a:r>
                <a:rPr lang="tr-TR" sz="1100" b="0" kern="1200">
                  <a:latin typeface="Cambria Math" panose="02040503050406030204" pitchFamily="18" charset="0"/>
                </a:rPr>
                <a:t>𝑂𝑅𝑇𝐴𝐿𝐴𝑀𝐴</a:t>
              </a:r>
              <a:r>
                <a:rPr lang="tr-TR" sz="1100" b="0" kern="1200">
                  <a:latin typeface="Cambria Math" panose="02040503050406030204" pitchFamily="18" charset="0"/>
                </a:rPr>
                <a:t> </a:t>
              </a:r>
              <a:r>
                <a:rPr lang="tr-TR" sz="1100" b="0" kern="1200">
                  <a:latin typeface="Cambria Math" panose="02040503050406030204" pitchFamily="18" charset="0"/>
                </a:rPr>
                <a:t>𝑇</a:t>
              </a:r>
              <a:r>
                <a:rPr lang="tr-TR" sz="1100" b="0" kern="1200">
                  <a:latin typeface="Cambria Math" panose="02040503050406030204" pitchFamily="18" charset="0"/>
                </a:rPr>
                <a:t>. </a:t>
              </a:r>
              <a:r>
                <a:rPr lang="tr-TR" sz="1100" b="0" kern="1200">
                  <a:latin typeface="Cambria Math" panose="02040503050406030204" pitchFamily="18" charset="0"/>
                </a:rPr>
                <a:t>𝐴𝐿𝐴𝐶𝐴𝐾𝐿𝐴𝑅</a:t>
              </a:r>
              <a:endParaRPr lang="tr-TR" sz="110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C1:H19"/>
  <sheetViews>
    <sheetView tabSelected="1" zoomScale="90" zoomScaleNormal="90" workbookViewId="0">
      <selection activeCell="K21" sqref="K21"/>
    </sheetView>
  </sheetViews>
  <sheetFormatPr defaultColWidth="9" defaultRowHeight="14.4"/>
  <cols>
    <col min="3" max="3" width="45.5546875" customWidth="1"/>
    <col min="4" max="4" width="14.88671875" customWidth="1"/>
    <col min="5" max="5" width="14.88671875" bestFit="1" customWidth="1"/>
    <col min="6" max="6" width="2.21875" customWidth="1"/>
    <col min="7" max="8" width="10.33203125" customWidth="1"/>
  </cols>
  <sheetData>
    <row r="1" spans="3:8" ht="36" customHeight="1" thickTop="1" thickBot="1">
      <c r="C1" s="72" t="s">
        <v>94</v>
      </c>
      <c r="D1" s="50">
        <v>45657</v>
      </c>
      <c r="E1" s="51">
        <v>45291</v>
      </c>
      <c r="G1" s="146" t="s">
        <v>74</v>
      </c>
      <c r="H1" s="147"/>
    </row>
    <row r="2" spans="3:8" ht="16.2" thickTop="1">
      <c r="C2" s="66" t="s">
        <v>0</v>
      </c>
      <c r="D2" s="67"/>
      <c r="E2" s="68"/>
      <c r="G2" s="90">
        <v>2024</v>
      </c>
      <c r="H2" s="69">
        <v>2023</v>
      </c>
    </row>
    <row r="3" spans="3:8">
      <c r="C3" s="59" t="s">
        <v>1</v>
      </c>
      <c r="D3" s="75">
        <v>26394774</v>
      </c>
      <c r="E3" s="76">
        <v>28783053</v>
      </c>
      <c r="G3" s="82">
        <f>(D3/$D$3)*100</f>
        <v>100</v>
      </c>
      <c r="H3" s="82">
        <f>(E3/$E$3)*100</f>
        <v>100</v>
      </c>
    </row>
    <row r="4" spans="3:8">
      <c r="C4" s="5" t="s">
        <v>2</v>
      </c>
      <c r="D4" s="11">
        <v>2196824</v>
      </c>
      <c r="E4" s="70">
        <v>5261236</v>
      </c>
      <c r="G4" s="77">
        <f t="shared" ref="G4:G12" si="0">(D4/$D$3)*100</f>
        <v>8.3229505962051427</v>
      </c>
      <c r="H4" s="94">
        <f t="shared" ref="H4:H12" si="1">(E4/$E$3)*100</f>
        <v>18.278936567291872</v>
      </c>
    </row>
    <row r="5" spans="3:8">
      <c r="C5" s="60" t="s">
        <v>3</v>
      </c>
      <c r="D5" s="11">
        <v>8592557</v>
      </c>
      <c r="E5" s="70">
        <v>10759865</v>
      </c>
      <c r="G5" s="77">
        <f t="shared" si="0"/>
        <v>32.554008607916096</v>
      </c>
      <c r="H5" s="94">
        <f t="shared" si="1"/>
        <v>37.382639708164383</v>
      </c>
    </row>
    <row r="6" spans="3:8">
      <c r="C6" s="58" t="s">
        <v>4</v>
      </c>
      <c r="D6" s="87">
        <v>70372</v>
      </c>
      <c r="E6" s="88">
        <v>70372</v>
      </c>
      <c r="G6" s="89">
        <f t="shared" si="0"/>
        <v>0.26661338339172747</v>
      </c>
      <c r="H6" s="95">
        <f t="shared" si="1"/>
        <v>0.24449108994796348</v>
      </c>
    </row>
    <row r="7" spans="3:8">
      <c r="C7" s="74" t="s">
        <v>5</v>
      </c>
      <c r="D7" s="11">
        <v>8522185</v>
      </c>
      <c r="E7" s="88">
        <v>10689493</v>
      </c>
      <c r="G7" s="89">
        <f t="shared" si="0"/>
        <v>32.287395224524367</v>
      </c>
      <c r="H7" s="95">
        <f t="shared" si="1"/>
        <v>37.13814861821642</v>
      </c>
    </row>
    <row r="8" spans="3:8">
      <c r="C8" s="60" t="s">
        <v>6</v>
      </c>
      <c r="D8" s="11">
        <v>45942</v>
      </c>
      <c r="E8" s="70">
        <v>24561</v>
      </c>
      <c r="G8" s="77">
        <f t="shared" si="0"/>
        <v>0.17405718268320844</v>
      </c>
      <c r="H8" s="94">
        <f t="shared" si="1"/>
        <v>8.5331462232307323E-2</v>
      </c>
    </row>
    <row r="9" spans="3:8">
      <c r="C9" s="74" t="s">
        <v>7</v>
      </c>
      <c r="D9" s="87">
        <v>45942</v>
      </c>
      <c r="E9" s="88">
        <v>24561</v>
      </c>
      <c r="G9" s="89">
        <f t="shared" si="0"/>
        <v>0.17405718268320844</v>
      </c>
      <c r="H9" s="95">
        <f t="shared" si="1"/>
        <v>8.5331462232307323E-2</v>
      </c>
    </row>
    <row r="10" spans="3:8">
      <c r="C10" s="5" t="s">
        <v>8</v>
      </c>
      <c r="D10" s="11">
        <v>13188222</v>
      </c>
      <c r="E10" s="70">
        <v>11380817</v>
      </c>
      <c r="G10" s="77">
        <f t="shared" si="0"/>
        <v>49.965277217376439</v>
      </c>
      <c r="H10" s="94">
        <f t="shared" si="1"/>
        <v>39.539992508786334</v>
      </c>
    </row>
    <row r="11" spans="3:8">
      <c r="C11" s="5" t="s">
        <v>9</v>
      </c>
      <c r="D11" s="11">
        <v>1327340</v>
      </c>
      <c r="E11" s="70">
        <v>612129</v>
      </c>
      <c r="G11" s="77">
        <f t="shared" si="0"/>
        <v>5.0287985038250378</v>
      </c>
      <c r="H11" s="94">
        <f t="shared" si="1"/>
        <v>2.1266993463132629</v>
      </c>
    </row>
    <row r="12" spans="3:8">
      <c r="C12" s="5" t="s">
        <v>10</v>
      </c>
      <c r="D12" s="11">
        <v>1043889</v>
      </c>
      <c r="E12" s="70">
        <v>744445</v>
      </c>
      <c r="G12" s="93">
        <f t="shared" si="0"/>
        <v>3.9549078919940741</v>
      </c>
      <c r="H12" s="96">
        <f t="shared" si="1"/>
        <v>2.5864004072118409</v>
      </c>
    </row>
    <row r="13" spans="3:8">
      <c r="C13" s="5"/>
      <c r="E13" s="71"/>
      <c r="G13" s="81"/>
      <c r="H13" s="12"/>
    </row>
    <row r="14" spans="3:8">
      <c r="C14" s="59" t="s">
        <v>11</v>
      </c>
      <c r="D14" s="75">
        <v>205917309</v>
      </c>
      <c r="E14" s="76">
        <v>123012506</v>
      </c>
      <c r="G14" s="91">
        <f>(D14/$D$14)*100</f>
        <v>100</v>
      </c>
      <c r="H14" s="92">
        <f>(E14/$E$14)*100</f>
        <v>100</v>
      </c>
    </row>
    <row r="15" spans="3:8">
      <c r="C15" s="60" t="s">
        <v>6</v>
      </c>
      <c r="D15" s="11">
        <v>100</v>
      </c>
      <c r="E15" s="70">
        <v>100</v>
      </c>
      <c r="G15" s="85">
        <f>(D15/$D$14)*100</f>
        <v>4.8563183195056227E-5</v>
      </c>
      <c r="H15" s="86">
        <f>(E15/$E$14)*100</f>
        <v>8.129254760487523E-5</v>
      </c>
    </row>
    <row r="16" spans="3:8">
      <c r="C16" s="5" t="s">
        <v>72</v>
      </c>
      <c r="D16" s="11">
        <v>147551928</v>
      </c>
      <c r="E16" s="70">
        <v>83421799</v>
      </c>
      <c r="G16" s="85">
        <f>(D16/$D$14)*100</f>
        <v>71.65591310247747</v>
      </c>
      <c r="H16" s="86">
        <f>(E16/$E$14)*100</f>
        <v>67.815705664918326</v>
      </c>
    </row>
    <row r="17" spans="3:8">
      <c r="C17" s="5" t="s">
        <v>73</v>
      </c>
      <c r="D17" s="11">
        <v>574345</v>
      </c>
      <c r="E17" s="70">
        <v>358063</v>
      </c>
      <c r="G17" s="85">
        <f>(D17/$D$14)*100</f>
        <v>0.27892021452164567</v>
      </c>
      <c r="H17" s="86">
        <f>(E17/$E$14)*100</f>
        <v>0.29107853473044437</v>
      </c>
    </row>
    <row r="18" spans="3:8">
      <c r="C18" s="5" t="s">
        <v>9</v>
      </c>
      <c r="D18" s="11">
        <v>3575428</v>
      </c>
      <c r="E18" s="70">
        <v>2472006</v>
      </c>
      <c r="G18" s="85">
        <f>(D18/$D$14)*100</f>
        <v>1.7363416496473347</v>
      </c>
      <c r="H18" s="86">
        <f>(E18/$E$14)*100</f>
        <v>2.009556654345372</v>
      </c>
    </row>
    <row r="19" spans="3:8" ht="15" thickBot="1">
      <c r="C19" s="78" t="s">
        <v>12</v>
      </c>
      <c r="D19" s="79">
        <v>232312083</v>
      </c>
      <c r="E19" s="80">
        <v>151795559</v>
      </c>
      <c r="G19" s="83"/>
      <c r="H19" s="84"/>
    </row>
  </sheetData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C1:K29"/>
  <sheetViews>
    <sheetView topLeftCell="B13" zoomScale="90" zoomScaleNormal="90" workbookViewId="0">
      <selection activeCell="I19" sqref="I19"/>
    </sheetView>
  </sheetViews>
  <sheetFormatPr defaultColWidth="9" defaultRowHeight="14.4"/>
  <cols>
    <col min="3" max="3" width="40.21875" customWidth="1"/>
    <col min="4" max="5" width="14.88671875" bestFit="1" customWidth="1"/>
    <col min="6" max="6" width="3.44140625" customWidth="1"/>
    <col min="7" max="7" width="7.44140625" customWidth="1"/>
    <col min="8" max="8" width="7.33203125" customWidth="1"/>
    <col min="9" max="9" width="12.109375" customWidth="1"/>
  </cols>
  <sheetData>
    <row r="1" spans="3:9" ht="14.4" customHeight="1" thickTop="1">
      <c r="C1" s="148" t="s">
        <v>94</v>
      </c>
      <c r="D1" s="150">
        <v>2024</v>
      </c>
      <c r="E1" s="150">
        <v>2023</v>
      </c>
      <c r="F1" s="52"/>
      <c r="G1" s="152">
        <v>2024</v>
      </c>
      <c r="H1" s="152">
        <v>2023</v>
      </c>
    </row>
    <row r="2" spans="3:9" ht="14.4" customHeight="1" thickBot="1">
      <c r="C2" s="149"/>
      <c r="D2" s="151"/>
      <c r="E2" s="151"/>
      <c r="F2" s="53"/>
      <c r="G2" s="153"/>
      <c r="H2" s="153"/>
    </row>
    <row r="3" spans="3:9" ht="15" thickTop="1">
      <c r="C3" s="54" t="s">
        <v>13</v>
      </c>
      <c r="D3" s="55">
        <v>48582547</v>
      </c>
      <c r="E3" s="55">
        <v>66871472</v>
      </c>
      <c r="F3" s="52"/>
      <c r="G3" s="56">
        <f>(D3/$D$3)*100</f>
        <v>100</v>
      </c>
      <c r="H3" s="57">
        <f>(E3/$E$3)*100</f>
        <v>100</v>
      </c>
      <c r="I3" s="11"/>
    </row>
    <row r="4" spans="3:9">
      <c r="C4" s="5" t="s">
        <v>14</v>
      </c>
      <c r="D4" s="11">
        <v>39955356</v>
      </c>
      <c r="E4" s="11">
        <v>54302798</v>
      </c>
      <c r="F4" s="53"/>
      <c r="G4" s="100">
        <f t="shared" ref="G4:G27" si="0">(D4/$D$3)*100</f>
        <v>82.242201093326784</v>
      </c>
      <c r="H4" s="101">
        <f t="shared" ref="H4:H27" si="1">(E4/$E$3)*100</f>
        <v>81.204729574369168</v>
      </c>
      <c r="I4" s="11"/>
    </row>
    <row r="5" spans="3:9">
      <c r="C5" s="58"/>
      <c r="F5" s="53"/>
      <c r="G5" s="61"/>
      <c r="H5" s="102"/>
    </row>
    <row r="6" spans="3:9">
      <c r="C6" s="59" t="s">
        <v>15</v>
      </c>
      <c r="D6" s="8">
        <v>8627191</v>
      </c>
      <c r="E6" s="8">
        <v>12568674</v>
      </c>
      <c r="F6" s="53"/>
      <c r="G6" s="103">
        <f t="shared" si="0"/>
        <v>17.757798906673212</v>
      </c>
      <c r="H6" s="104">
        <f t="shared" si="1"/>
        <v>18.795270425630829</v>
      </c>
    </row>
    <row r="7" spans="3:9">
      <c r="C7" s="59"/>
      <c r="D7" s="8"/>
      <c r="E7" s="8"/>
      <c r="F7" s="53"/>
      <c r="G7" s="61">
        <f t="shared" si="0"/>
        <v>0</v>
      </c>
      <c r="H7" s="102">
        <f t="shared" si="1"/>
        <v>0</v>
      </c>
    </row>
    <row r="8" spans="3:9">
      <c r="C8" s="60" t="s">
        <v>16</v>
      </c>
      <c r="D8" s="11">
        <v>727464</v>
      </c>
      <c r="E8" s="11">
        <v>688968</v>
      </c>
      <c r="F8" s="53"/>
      <c r="G8" s="61">
        <f t="shared" si="0"/>
        <v>1.497377237138267</v>
      </c>
      <c r="H8" s="102">
        <f t="shared" si="1"/>
        <v>1.0302868762930775</v>
      </c>
    </row>
    <row r="9" spans="3:9">
      <c r="C9" s="60" t="s">
        <v>17</v>
      </c>
      <c r="D9" s="11">
        <v>1778403</v>
      </c>
      <c r="E9" s="11">
        <v>2120218</v>
      </c>
      <c r="F9" s="53"/>
      <c r="G9" s="61">
        <f t="shared" si="0"/>
        <v>3.6605800021147514</v>
      </c>
      <c r="H9" s="102">
        <f t="shared" si="1"/>
        <v>3.1705867039983806</v>
      </c>
    </row>
    <row r="10" spans="3:9">
      <c r="C10" s="60" t="s">
        <v>18</v>
      </c>
      <c r="D10" s="11">
        <v>97818</v>
      </c>
      <c r="E10" s="11">
        <v>33289</v>
      </c>
      <c r="F10" s="53"/>
      <c r="G10" s="61">
        <f t="shared" si="0"/>
        <v>0.20134391060229923</v>
      </c>
      <c r="H10" s="102">
        <f t="shared" si="1"/>
        <v>4.9780570106188179E-2</v>
      </c>
    </row>
    <row r="11" spans="3:9">
      <c r="C11" s="60" t="s">
        <v>19</v>
      </c>
      <c r="D11" s="11">
        <v>10246950</v>
      </c>
      <c r="E11" s="11">
        <v>27686122</v>
      </c>
      <c r="F11" s="53"/>
      <c r="G11" s="61">
        <f t="shared" si="0"/>
        <v>21.091833657877178</v>
      </c>
      <c r="H11" s="102">
        <f t="shared" si="1"/>
        <v>41.401992766063231</v>
      </c>
    </row>
    <row r="12" spans="3:9">
      <c r="C12" s="60" t="s">
        <v>20</v>
      </c>
      <c r="D12" s="11">
        <v>10498834</v>
      </c>
      <c r="E12" s="11">
        <v>28738232</v>
      </c>
      <c r="F12" s="53"/>
      <c r="G12" s="61">
        <f t="shared" si="0"/>
        <v>21.61029968231184</v>
      </c>
      <c r="H12" s="102">
        <f t="shared" si="1"/>
        <v>42.975324365523164</v>
      </c>
    </row>
    <row r="13" spans="3:9">
      <c r="C13" s="5"/>
      <c r="D13" s="11"/>
      <c r="E13" s="11"/>
      <c r="F13" s="53"/>
      <c r="G13" s="61"/>
      <c r="H13" s="102"/>
    </row>
    <row r="14" spans="3:9">
      <c r="C14" s="98" t="s">
        <v>75</v>
      </c>
      <c r="D14" s="8">
        <v>5771622</v>
      </c>
      <c r="E14" s="8">
        <v>8674089</v>
      </c>
      <c r="F14" s="53"/>
      <c r="G14" s="100">
        <f t="shared" si="0"/>
        <v>11.880031732383237</v>
      </c>
      <c r="H14" s="101">
        <f t="shared" si="1"/>
        <v>12.971284675773251</v>
      </c>
    </row>
    <row r="15" spans="3:9">
      <c r="C15" s="5"/>
      <c r="D15" s="11"/>
      <c r="E15" s="11"/>
      <c r="F15" s="53"/>
      <c r="G15" s="61"/>
      <c r="H15" s="102"/>
    </row>
    <row r="16" spans="3:9">
      <c r="C16" s="5" t="s">
        <v>21</v>
      </c>
      <c r="D16" s="11"/>
      <c r="E16" s="24">
        <v>4652</v>
      </c>
      <c r="F16" s="53"/>
      <c r="G16" s="61">
        <f t="shared" si="0"/>
        <v>0</v>
      </c>
      <c r="H16" s="102">
        <f t="shared" si="1"/>
        <v>6.9566286801642421E-3</v>
      </c>
    </row>
    <row r="17" spans="3:11">
      <c r="C17" s="5" t="s">
        <v>22</v>
      </c>
      <c r="D17" s="11">
        <v>36624</v>
      </c>
      <c r="E17" s="11"/>
      <c r="F17" s="53"/>
      <c r="G17" s="61">
        <f t="shared" si="0"/>
        <v>7.5385096627395842E-2</v>
      </c>
      <c r="H17" s="102">
        <f t="shared" si="1"/>
        <v>0</v>
      </c>
    </row>
    <row r="18" spans="3:11">
      <c r="C18" s="5"/>
      <c r="D18" s="11"/>
      <c r="E18" s="11"/>
      <c r="F18" s="53"/>
      <c r="G18" s="61"/>
      <c r="H18" s="102"/>
    </row>
    <row r="19" spans="3:11">
      <c r="C19" s="97" t="s">
        <v>76</v>
      </c>
      <c r="D19" s="8">
        <v>5734998</v>
      </c>
      <c r="E19" s="8">
        <v>8678741</v>
      </c>
      <c r="F19" s="62"/>
      <c r="G19" s="100">
        <f t="shared" si="0"/>
        <v>11.804646635755841</v>
      </c>
      <c r="H19" s="101">
        <f t="shared" si="1"/>
        <v>12.978241304453414</v>
      </c>
    </row>
    <row r="20" spans="3:11">
      <c r="C20" s="5"/>
      <c r="D20" s="11"/>
      <c r="E20" s="11"/>
      <c r="F20" s="53"/>
      <c r="G20" s="61"/>
      <c r="H20" s="102"/>
    </row>
    <row r="21" spans="3:11">
      <c r="C21" s="73" t="s">
        <v>78</v>
      </c>
      <c r="D21" s="11">
        <v>1793315</v>
      </c>
      <c r="E21" s="11">
        <v>3529374</v>
      </c>
      <c r="F21" s="53"/>
      <c r="G21" s="61">
        <f t="shared" si="0"/>
        <v>3.6912741524235031</v>
      </c>
      <c r="H21" s="102">
        <f t="shared" si="1"/>
        <v>5.2778470316908832</v>
      </c>
    </row>
    <row r="22" spans="3:11">
      <c r="C22" s="5" t="s">
        <v>79</v>
      </c>
      <c r="D22" s="11">
        <v>21394977</v>
      </c>
      <c r="E22" s="11">
        <v>38998866</v>
      </c>
      <c r="F22" s="53"/>
      <c r="G22" s="61">
        <f t="shared" si="0"/>
        <v>44.038401280196368</v>
      </c>
      <c r="H22" s="102">
        <f t="shared" si="1"/>
        <v>58.319137942708963</v>
      </c>
      <c r="J22" s="21"/>
      <c r="K22" s="21"/>
    </row>
    <row r="23" spans="3:11">
      <c r="C23" s="105" t="s">
        <v>80</v>
      </c>
      <c r="D23" s="11">
        <v>31010023</v>
      </c>
      <c r="E23" s="11">
        <v>26967025</v>
      </c>
      <c r="F23" s="53"/>
      <c r="G23" s="61">
        <f t="shared" si="0"/>
        <v>63.829553851921347</v>
      </c>
      <c r="H23" s="102">
        <f t="shared" si="1"/>
        <v>40.326650802602344</v>
      </c>
    </row>
    <row r="24" spans="3:11">
      <c r="C24" s="5"/>
      <c r="D24" s="11"/>
      <c r="E24" s="11"/>
      <c r="F24" s="53"/>
      <c r="G24" s="61"/>
      <c r="H24" s="102"/>
    </row>
    <row r="25" spans="3:11">
      <c r="C25" s="99" t="s">
        <v>77</v>
      </c>
      <c r="D25" s="75">
        <v>17143359</v>
      </c>
      <c r="E25" s="75">
        <v>176274</v>
      </c>
      <c r="F25" s="53"/>
      <c r="G25" s="100">
        <f t="shared" si="0"/>
        <v>35.287073359904333</v>
      </c>
      <c r="H25" s="101">
        <f t="shared" si="1"/>
        <v>0.26360119603767657</v>
      </c>
    </row>
    <row r="26" spans="3:11">
      <c r="C26" s="144" t="s">
        <v>95</v>
      </c>
      <c r="D26" s="24">
        <v>7656690</v>
      </c>
      <c r="E26" s="24">
        <v>26315543</v>
      </c>
      <c r="F26" s="53"/>
      <c r="G26" s="107">
        <f t="shared" si="0"/>
        <v>15.760165888379627</v>
      </c>
      <c r="H26" s="108">
        <f t="shared" si="1"/>
        <v>39.35242071536873</v>
      </c>
    </row>
    <row r="27" spans="3:11" ht="15" thickBot="1">
      <c r="C27" s="63" t="s">
        <v>53</v>
      </c>
      <c r="D27" s="64">
        <v>18279278</v>
      </c>
      <c r="E27" s="64">
        <v>26265621</v>
      </c>
      <c r="F27" s="65"/>
      <c r="G27" s="106">
        <f t="shared" si="0"/>
        <v>37.625194907957379</v>
      </c>
      <c r="H27" s="106">
        <f t="shared" si="1"/>
        <v>39.277767057378369</v>
      </c>
    </row>
    <row r="28" spans="3:11" ht="15" thickTop="1"/>
    <row r="29" spans="3:11">
      <c r="C29" s="109" t="s">
        <v>81</v>
      </c>
      <c r="D29" s="110">
        <v>0.96209999999999996</v>
      </c>
      <c r="E29" s="110">
        <v>6.3127000000000004</v>
      </c>
      <c r="F29" s="111"/>
      <c r="G29" s="81"/>
    </row>
  </sheetData>
  <mergeCells count="5">
    <mergeCell ref="C1:C2"/>
    <mergeCell ref="D1:D2"/>
    <mergeCell ref="E1:E2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C1:G20"/>
  <sheetViews>
    <sheetView topLeftCell="B1" workbookViewId="0">
      <selection activeCell="I15" sqref="I15"/>
    </sheetView>
  </sheetViews>
  <sheetFormatPr defaultColWidth="9" defaultRowHeight="14.4"/>
  <cols>
    <col min="3" max="3" width="40.88671875" bestFit="1" customWidth="1"/>
    <col min="4" max="5" width="13.109375" bestFit="1" customWidth="1"/>
    <col min="6" max="6" width="3.21875" customWidth="1"/>
    <col min="7" max="7" width="14.109375" customWidth="1"/>
  </cols>
  <sheetData>
    <row r="1" spans="3:7" ht="19.2" thickTop="1" thickBot="1">
      <c r="C1" s="72" t="s">
        <v>94</v>
      </c>
      <c r="D1" s="50">
        <v>45657</v>
      </c>
      <c r="E1" s="51">
        <v>45291</v>
      </c>
      <c r="G1" s="154" t="s">
        <v>82</v>
      </c>
    </row>
    <row r="2" spans="3:7" ht="16.2" customHeight="1" thickTop="1">
      <c r="C2" s="66" t="s">
        <v>0</v>
      </c>
      <c r="D2" s="67"/>
      <c r="E2" s="68"/>
      <c r="G2" s="155"/>
    </row>
    <row r="3" spans="3:7">
      <c r="C3" s="59" t="s">
        <v>1</v>
      </c>
      <c r="D3" s="75">
        <v>26394774</v>
      </c>
      <c r="E3" s="76">
        <v>28783053</v>
      </c>
      <c r="G3" s="112">
        <f>(D3-E3)/E3*100</f>
        <v>-8.2975179874073817</v>
      </c>
    </row>
    <row r="4" spans="3:7">
      <c r="C4" s="5" t="s">
        <v>2</v>
      </c>
      <c r="D4" s="11">
        <v>2196824</v>
      </c>
      <c r="E4" s="70">
        <v>5261236</v>
      </c>
      <c r="G4" s="113">
        <f t="shared" ref="G4:G19" si="0">(D4-E4)/E4*100</f>
        <v>-58.24509677954002</v>
      </c>
    </row>
    <row r="5" spans="3:7">
      <c r="C5" s="60" t="s">
        <v>3</v>
      </c>
      <c r="D5" s="11">
        <v>8592557</v>
      </c>
      <c r="E5" s="70">
        <v>10759865</v>
      </c>
      <c r="G5" s="113">
        <f t="shared" si="0"/>
        <v>-20.142520375487983</v>
      </c>
    </row>
    <row r="6" spans="3:7">
      <c r="C6" s="58" t="s">
        <v>4</v>
      </c>
      <c r="D6" s="87">
        <v>70372</v>
      </c>
      <c r="E6" s="88">
        <v>70372</v>
      </c>
      <c r="G6" s="113">
        <f t="shared" si="0"/>
        <v>0</v>
      </c>
    </row>
    <row r="7" spans="3:7">
      <c r="C7" s="74" t="s">
        <v>5</v>
      </c>
      <c r="D7" s="87">
        <v>8522185</v>
      </c>
      <c r="E7" s="88">
        <v>10689493</v>
      </c>
      <c r="G7" s="113">
        <f t="shared" si="0"/>
        <v>-20.275124367451291</v>
      </c>
    </row>
    <row r="8" spans="3:7">
      <c r="C8" s="60" t="s">
        <v>6</v>
      </c>
      <c r="D8" s="11">
        <v>45942</v>
      </c>
      <c r="E8" s="70">
        <v>24561</v>
      </c>
      <c r="G8" s="113">
        <f t="shared" si="0"/>
        <v>87.052644436301449</v>
      </c>
    </row>
    <row r="9" spans="3:7">
      <c r="C9" s="74" t="s">
        <v>7</v>
      </c>
      <c r="D9" s="87">
        <v>45942</v>
      </c>
      <c r="E9" s="88">
        <v>24561</v>
      </c>
      <c r="G9" s="113">
        <f t="shared" si="0"/>
        <v>87.052644436301449</v>
      </c>
    </row>
    <row r="10" spans="3:7">
      <c r="C10" s="5" t="s">
        <v>8</v>
      </c>
      <c r="D10" s="11">
        <v>13188222</v>
      </c>
      <c r="E10" s="70">
        <v>11380817</v>
      </c>
      <c r="G10" s="113">
        <f t="shared" si="0"/>
        <v>15.881153347778106</v>
      </c>
    </row>
    <row r="11" spans="3:7">
      <c r="C11" s="5" t="s">
        <v>9</v>
      </c>
      <c r="D11" s="11">
        <v>1327340</v>
      </c>
      <c r="E11" s="70">
        <v>612129</v>
      </c>
      <c r="G11" s="113">
        <f t="shared" si="0"/>
        <v>116.83991446247441</v>
      </c>
    </row>
    <row r="12" spans="3:7">
      <c r="C12" s="5" t="s">
        <v>10</v>
      </c>
      <c r="D12" s="11">
        <v>1043889</v>
      </c>
      <c r="E12" s="70">
        <v>744445</v>
      </c>
      <c r="G12" s="113">
        <f t="shared" si="0"/>
        <v>40.223790877768003</v>
      </c>
    </row>
    <row r="13" spans="3:7">
      <c r="C13" s="5"/>
      <c r="E13" s="71"/>
      <c r="G13" s="114"/>
    </row>
    <row r="14" spans="3:7">
      <c r="C14" s="59" t="s">
        <v>11</v>
      </c>
      <c r="D14" s="75">
        <v>205917309</v>
      </c>
      <c r="E14" s="76">
        <v>123012506</v>
      </c>
      <c r="G14" s="114">
        <f t="shared" si="0"/>
        <v>67.39542644550302</v>
      </c>
    </row>
    <row r="15" spans="3:7">
      <c r="C15" s="60" t="s">
        <v>6</v>
      </c>
      <c r="D15" s="11">
        <v>100</v>
      </c>
      <c r="E15" s="70">
        <v>100</v>
      </c>
      <c r="G15" s="113">
        <f t="shared" si="0"/>
        <v>0</v>
      </c>
    </row>
    <row r="16" spans="3:7">
      <c r="C16" s="5" t="s">
        <v>72</v>
      </c>
      <c r="D16" s="11">
        <v>147551928</v>
      </c>
      <c r="E16" s="70">
        <v>83421799</v>
      </c>
      <c r="G16" s="113">
        <f t="shared" si="0"/>
        <v>76.874545704774349</v>
      </c>
    </row>
    <row r="17" spans="3:7">
      <c r="C17" s="5" t="s">
        <v>73</v>
      </c>
      <c r="D17" s="11">
        <v>574345</v>
      </c>
      <c r="E17" s="70">
        <v>358063</v>
      </c>
      <c r="G17" s="113">
        <f t="shared" si="0"/>
        <v>60.403336842957799</v>
      </c>
    </row>
    <row r="18" spans="3:7">
      <c r="C18" s="5" t="s">
        <v>9</v>
      </c>
      <c r="D18" s="11">
        <v>3575428</v>
      </c>
      <c r="E18" s="70">
        <v>2472006</v>
      </c>
      <c r="G18" s="113">
        <f t="shared" si="0"/>
        <v>44.636703956220167</v>
      </c>
    </row>
    <row r="19" spans="3:7" ht="15" thickBot="1">
      <c r="C19" s="78" t="s">
        <v>12</v>
      </c>
      <c r="D19" s="79">
        <v>232312083</v>
      </c>
      <c r="E19" s="80">
        <v>151795559</v>
      </c>
      <c r="G19" s="115">
        <f t="shared" si="0"/>
        <v>53.042740202959429</v>
      </c>
    </row>
    <row r="20" spans="3:7" ht="15" thickTop="1"/>
  </sheetData>
  <mergeCells count="1"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105"/>
  <sheetViews>
    <sheetView zoomScale="60" zoomScaleNormal="60" workbookViewId="0">
      <selection activeCell="P113" sqref="P113"/>
    </sheetView>
  </sheetViews>
  <sheetFormatPr defaultColWidth="9" defaultRowHeight="14.4"/>
  <cols>
    <col min="1" max="1" width="18.6640625" customWidth="1"/>
    <col min="2" max="5" width="13.6640625" bestFit="1" customWidth="1"/>
    <col min="6" max="7" width="14.88671875" bestFit="1" customWidth="1"/>
    <col min="10" max="10" width="10.109375" customWidth="1"/>
    <col min="11" max="11" width="3" style="142" customWidth="1"/>
    <col min="12" max="12" width="19.21875" bestFit="1" customWidth="1"/>
    <col min="13" max="14" width="13.6640625" bestFit="1" customWidth="1"/>
    <col min="15" max="15" width="13.88671875" customWidth="1"/>
    <col min="16" max="16" width="13.6640625" bestFit="1" customWidth="1"/>
    <col min="17" max="18" width="14.88671875" bestFit="1" customWidth="1"/>
  </cols>
  <sheetData>
    <row r="1" spans="1:18" ht="35.4" customHeight="1">
      <c r="G1" s="43"/>
    </row>
    <row r="2" spans="1:18">
      <c r="B2" s="44">
        <v>2019</v>
      </c>
      <c r="C2" s="44">
        <v>2020</v>
      </c>
      <c r="D2" s="44">
        <v>2021</v>
      </c>
      <c r="E2" s="44">
        <v>2022</v>
      </c>
      <c r="F2" s="45">
        <v>2023</v>
      </c>
      <c r="G2" s="45">
        <v>2024</v>
      </c>
      <c r="M2" s="44">
        <v>2019</v>
      </c>
      <c r="N2" s="44">
        <v>2020</v>
      </c>
      <c r="O2" s="44">
        <v>2021</v>
      </c>
      <c r="P2" s="44">
        <v>2022</v>
      </c>
      <c r="Q2" s="45">
        <v>2023</v>
      </c>
      <c r="R2" s="45">
        <v>2024</v>
      </c>
    </row>
    <row r="3" spans="1:18">
      <c r="A3" s="7" t="s">
        <v>8</v>
      </c>
      <c r="B3" s="11">
        <v>751535</v>
      </c>
      <c r="C3" s="46">
        <v>1338235</v>
      </c>
      <c r="D3" s="46">
        <v>3903250</v>
      </c>
      <c r="E3" s="46">
        <v>9118580</v>
      </c>
      <c r="F3" s="46">
        <v>11380817</v>
      </c>
      <c r="G3" s="46">
        <v>13188222</v>
      </c>
      <c r="L3" s="7" t="s">
        <v>8</v>
      </c>
      <c r="M3" s="46">
        <v>751535</v>
      </c>
      <c r="N3" s="46">
        <v>1338235</v>
      </c>
      <c r="O3" s="46">
        <v>3903250</v>
      </c>
      <c r="P3" s="46">
        <v>9118580</v>
      </c>
      <c r="Q3" s="46">
        <v>11380817</v>
      </c>
      <c r="R3" s="46">
        <v>13188222</v>
      </c>
    </row>
    <row r="4" spans="1:18">
      <c r="A4" s="7" t="s">
        <v>23</v>
      </c>
      <c r="B4" s="11">
        <v>497020</v>
      </c>
      <c r="C4" s="11">
        <v>700339</v>
      </c>
      <c r="D4" s="11">
        <v>2218391</v>
      </c>
      <c r="E4" s="11">
        <v>3614608</v>
      </c>
      <c r="F4" s="11">
        <v>10759865</v>
      </c>
      <c r="G4" s="11">
        <v>8592557</v>
      </c>
      <c r="L4" s="7" t="s">
        <v>23</v>
      </c>
      <c r="M4" s="11">
        <v>497020</v>
      </c>
      <c r="N4" s="11">
        <v>700339</v>
      </c>
      <c r="O4" s="11">
        <v>2218391</v>
      </c>
      <c r="P4" s="11">
        <v>3614608</v>
      </c>
      <c r="Q4" s="11">
        <v>10759865</v>
      </c>
      <c r="R4" s="11">
        <v>8592557</v>
      </c>
    </row>
    <row r="5" spans="1:18">
      <c r="A5" s="7" t="s">
        <v>24</v>
      </c>
      <c r="B5" s="11">
        <v>2763745</v>
      </c>
      <c r="C5" s="11">
        <v>5040948</v>
      </c>
      <c r="D5" s="11">
        <v>14644953</v>
      </c>
      <c r="E5" s="11">
        <v>37527517</v>
      </c>
      <c r="F5" s="11">
        <v>46316693</v>
      </c>
      <c r="G5" s="11">
        <v>48582547</v>
      </c>
      <c r="L5" s="7" t="s">
        <v>24</v>
      </c>
      <c r="M5" s="11">
        <v>2763745</v>
      </c>
      <c r="N5" s="11">
        <v>5040948</v>
      </c>
      <c r="O5" s="11">
        <v>14644953</v>
      </c>
      <c r="P5" s="11">
        <v>37527517</v>
      </c>
      <c r="Q5" s="11">
        <v>46316693</v>
      </c>
      <c r="R5" s="11">
        <v>48582547</v>
      </c>
    </row>
    <row r="6" spans="1:18">
      <c r="A6" s="7" t="s">
        <v>25</v>
      </c>
      <c r="B6" s="11">
        <v>2448314</v>
      </c>
      <c r="C6" s="11">
        <v>3952541</v>
      </c>
      <c r="D6" s="11">
        <v>10942436</v>
      </c>
      <c r="E6" s="11">
        <v>29725942</v>
      </c>
      <c r="F6" s="11">
        <v>37611345</v>
      </c>
      <c r="G6" s="11">
        <v>39955356</v>
      </c>
      <c r="L6" s="7" t="s">
        <v>25</v>
      </c>
      <c r="M6" s="11">
        <v>2448314</v>
      </c>
      <c r="N6" s="11">
        <v>3952541</v>
      </c>
      <c r="O6" s="11">
        <v>10942436</v>
      </c>
      <c r="P6" s="11">
        <v>29725942</v>
      </c>
      <c r="Q6" s="11">
        <v>37611345</v>
      </c>
      <c r="R6" s="11">
        <v>39955356</v>
      </c>
    </row>
    <row r="7" spans="1:18">
      <c r="A7" s="7" t="s">
        <v>26</v>
      </c>
      <c r="B7" s="11">
        <v>1064180</v>
      </c>
      <c r="C7" s="11">
        <v>312188</v>
      </c>
      <c r="D7" s="11">
        <v>697435</v>
      </c>
      <c r="E7" s="11">
        <v>13319094</v>
      </c>
      <c r="F7" s="11">
        <v>18192162</v>
      </c>
      <c r="G7" s="11">
        <v>18279278</v>
      </c>
      <c r="L7" s="7" t="s">
        <v>26</v>
      </c>
      <c r="M7" s="11">
        <v>1064180</v>
      </c>
      <c r="N7" s="11">
        <v>312188</v>
      </c>
      <c r="O7" s="11">
        <v>697435</v>
      </c>
      <c r="P7" s="11">
        <v>13319094</v>
      </c>
      <c r="Q7" s="11">
        <v>18192162</v>
      </c>
      <c r="R7" s="11">
        <v>18279278</v>
      </c>
    </row>
    <row r="8" spans="1:18">
      <c r="A8" s="47"/>
      <c r="B8" s="47"/>
      <c r="C8" s="47"/>
      <c r="D8" s="47"/>
      <c r="E8" s="47"/>
      <c r="F8" s="47"/>
      <c r="G8" s="47"/>
      <c r="H8" s="123"/>
    </row>
    <row r="10" spans="1:18">
      <c r="B10" s="117" t="s">
        <v>83</v>
      </c>
      <c r="C10" s="44">
        <v>2020</v>
      </c>
      <c r="D10" s="44">
        <v>2021</v>
      </c>
      <c r="E10" s="44">
        <v>2022</v>
      </c>
      <c r="F10" s="45">
        <v>2023</v>
      </c>
      <c r="G10" s="117">
        <v>2024</v>
      </c>
      <c r="M10" s="117">
        <v>2019</v>
      </c>
      <c r="N10" s="44">
        <v>2020</v>
      </c>
      <c r="O10" s="44">
        <v>2021</v>
      </c>
      <c r="P10" s="44">
        <v>2022</v>
      </c>
      <c r="Q10" s="45">
        <v>2023</v>
      </c>
      <c r="R10" s="117">
        <v>2024</v>
      </c>
    </row>
    <row r="11" spans="1:18">
      <c r="A11" s="7" t="s">
        <v>8</v>
      </c>
      <c r="B11" s="141">
        <f>B3/B3*100</f>
        <v>100</v>
      </c>
      <c r="C11" s="49">
        <f>C3/B3*100</f>
        <v>178.06688976561304</v>
      </c>
      <c r="D11" s="49">
        <f>D3/B3*100</f>
        <v>519.37035533940536</v>
      </c>
      <c r="E11" s="49">
        <f>E3/B3*100</f>
        <v>1213.3273899419189</v>
      </c>
      <c r="F11" s="49">
        <f>F3/B3*100</f>
        <v>1514.3429115077809</v>
      </c>
      <c r="G11" s="49">
        <f>G3/B3*100</f>
        <v>1754.8380314955391</v>
      </c>
      <c r="L11" s="7" t="s">
        <v>8</v>
      </c>
      <c r="N11">
        <f t="shared" ref="N11:R13" si="0">N3/M3*100</f>
        <v>178.06688976561304</v>
      </c>
      <c r="O11">
        <f t="shared" si="0"/>
        <v>291.67149267505334</v>
      </c>
      <c r="P11">
        <f t="shared" si="0"/>
        <v>233.61506436943574</v>
      </c>
      <c r="Q11">
        <f t="shared" si="0"/>
        <v>124.80909308247557</v>
      </c>
      <c r="R11">
        <f t="shared" si="0"/>
        <v>115.88115334777811</v>
      </c>
    </row>
    <row r="12" spans="1:18">
      <c r="A12" s="7" t="s">
        <v>23</v>
      </c>
      <c r="B12" s="141">
        <f>B4/B4*100</f>
        <v>100</v>
      </c>
      <c r="C12" s="49">
        <f>C4/B4*100</f>
        <v>140.90760935173634</v>
      </c>
      <c r="D12" s="49">
        <f>D4/B4*100</f>
        <v>446.33837672528267</v>
      </c>
      <c r="E12" s="49">
        <f>E4/B4*100</f>
        <v>727.25604603436477</v>
      </c>
      <c r="F12" s="49">
        <f>F4/B4*100</f>
        <v>2164.8756589272061</v>
      </c>
      <c r="G12" s="49">
        <f>G4/B4*100</f>
        <v>1728.8151382238141</v>
      </c>
      <c r="L12" s="7" t="s">
        <v>23</v>
      </c>
      <c r="N12">
        <f t="shared" si="0"/>
        <v>140.90760935173634</v>
      </c>
      <c r="O12">
        <f t="shared" si="0"/>
        <v>316.75959785189741</v>
      </c>
      <c r="P12">
        <f t="shared" si="0"/>
        <v>162.93827373082564</v>
      </c>
      <c r="Q12">
        <f t="shared" si="0"/>
        <v>297.67723083664947</v>
      </c>
      <c r="R12">
        <f t="shared" si="0"/>
        <v>79.857479624512024</v>
      </c>
    </row>
    <row r="13" spans="1:18">
      <c r="A13" s="7" t="s">
        <v>24</v>
      </c>
      <c r="B13" s="141">
        <f>B5/B5*100</f>
        <v>100</v>
      </c>
      <c r="C13" s="49">
        <f>C5/B5*100</f>
        <v>182.39555385898484</v>
      </c>
      <c r="D13" s="49">
        <f>D5/B5*100</f>
        <v>529.89523273673944</v>
      </c>
      <c r="E13" s="49">
        <f>E5/B5*100</f>
        <v>1357.8501996385339</v>
      </c>
      <c r="F13" s="49">
        <f>F5/B5*100</f>
        <v>1675.8670933823489</v>
      </c>
      <c r="G13" s="49">
        <f>G5/B5*100</f>
        <v>1757.8520087779445</v>
      </c>
      <c r="L13" s="7" t="s">
        <v>24</v>
      </c>
      <c r="N13">
        <f t="shared" si="0"/>
        <v>182.39555385898484</v>
      </c>
      <c r="O13">
        <f t="shared" si="0"/>
        <v>290.51981889120856</v>
      </c>
      <c r="P13">
        <f t="shared" si="0"/>
        <v>256.24880462231596</v>
      </c>
      <c r="Q13">
        <f t="shared" si="0"/>
        <v>123.42061693023815</v>
      </c>
      <c r="R13">
        <f t="shared" si="0"/>
        <v>104.89208933807083</v>
      </c>
    </row>
    <row r="14" spans="1:18">
      <c r="A14" s="7" t="s">
        <v>25</v>
      </c>
      <c r="B14" s="141">
        <f t="shared" ref="B14:B15" si="1">B6/B6*100</f>
        <v>100</v>
      </c>
      <c r="C14" s="49">
        <f>C6/B6*100</f>
        <v>161.43930067793593</v>
      </c>
      <c r="D14" s="49">
        <f t="shared" ref="D14:D15" si="2">D6/B6*100</f>
        <v>446.93760685925088</v>
      </c>
      <c r="E14" s="49">
        <f t="shared" ref="E14:E15" si="3">E6/B6*100</f>
        <v>1214.1392811542964</v>
      </c>
      <c r="F14" s="49">
        <f t="shared" ref="F14:F15" si="4">F6/B6*100</f>
        <v>1536.2141048901408</v>
      </c>
      <c r="G14" s="49">
        <f t="shared" ref="G14:G15" si="5">G6/B6*100</f>
        <v>1631.9539078729281</v>
      </c>
      <c r="L14" s="7" t="s">
        <v>25</v>
      </c>
      <c r="N14">
        <f t="shared" ref="N14:R15" si="6">N6/M6*100</f>
        <v>161.43930067793593</v>
      </c>
      <c r="O14">
        <f t="shared" si="6"/>
        <v>276.84560387861887</v>
      </c>
      <c r="P14">
        <f t="shared" si="6"/>
        <v>271.65744446666173</v>
      </c>
      <c r="Q14">
        <f t="shared" si="6"/>
        <v>126.52700795823392</v>
      </c>
      <c r="R14">
        <f t="shared" si="6"/>
        <v>106.23219137736233</v>
      </c>
    </row>
    <row r="15" spans="1:18">
      <c r="A15" s="7" t="s">
        <v>26</v>
      </c>
      <c r="B15" s="141">
        <f t="shared" si="1"/>
        <v>100</v>
      </c>
      <c r="C15" s="49">
        <f t="shared" ref="C15" si="7">C7/B7*100</f>
        <v>29.336014583998949</v>
      </c>
      <c r="D15" s="49">
        <f t="shared" si="2"/>
        <v>65.537315115863862</v>
      </c>
      <c r="E15" s="49">
        <f t="shared" si="3"/>
        <v>1251.5828149373226</v>
      </c>
      <c r="F15" s="49">
        <f t="shared" si="4"/>
        <v>1709.5004604484202</v>
      </c>
      <c r="G15" s="49">
        <f t="shared" si="5"/>
        <v>1717.6866695483845</v>
      </c>
      <c r="L15" s="7" t="s">
        <v>26</v>
      </c>
      <c r="N15">
        <f t="shared" si="6"/>
        <v>29.336014583998949</v>
      </c>
      <c r="O15">
        <f t="shared" si="6"/>
        <v>223.40224480120955</v>
      </c>
      <c r="P15">
        <f t="shared" si="6"/>
        <v>1909.7254941320696</v>
      </c>
      <c r="Q15">
        <f t="shared" si="6"/>
        <v>136.58708317547726</v>
      </c>
      <c r="R15">
        <f t="shared" si="6"/>
        <v>100.47886556858938</v>
      </c>
    </row>
    <row r="16" spans="1:18">
      <c r="A16" s="7"/>
      <c r="B16" s="116"/>
      <c r="C16" s="49"/>
      <c r="D16" s="49"/>
      <c r="E16" s="49"/>
      <c r="F16" s="49"/>
      <c r="G16" s="49"/>
    </row>
    <row r="18" spans="1:19">
      <c r="A18" s="117"/>
      <c r="B18" s="117">
        <v>2019</v>
      </c>
      <c r="C18" s="44">
        <v>2020</v>
      </c>
      <c r="D18" s="44">
        <v>2021</v>
      </c>
      <c r="E18" s="44">
        <v>2022</v>
      </c>
      <c r="F18" s="45">
        <v>2023</v>
      </c>
      <c r="G18" s="117">
        <v>2024</v>
      </c>
      <c r="M18" s="117">
        <v>2019</v>
      </c>
      <c r="N18" s="44">
        <v>2020</v>
      </c>
      <c r="O18" s="44">
        <v>2021</v>
      </c>
      <c r="P18" s="44">
        <v>2022</v>
      </c>
      <c r="Q18" s="45">
        <v>2023</v>
      </c>
      <c r="R18" s="117">
        <v>2024</v>
      </c>
      <c r="S18" s="117"/>
    </row>
    <row r="19" spans="1:19">
      <c r="A19" s="118" t="s">
        <v>8</v>
      </c>
      <c r="B19" s="116">
        <v>100</v>
      </c>
      <c r="C19" s="49">
        <v>178.1</v>
      </c>
      <c r="D19" s="49">
        <v>519.4</v>
      </c>
      <c r="E19" s="49">
        <v>1213.3</v>
      </c>
      <c r="F19" s="49">
        <v>1514.3</v>
      </c>
      <c r="G19" s="49">
        <v>1754.8</v>
      </c>
      <c r="L19" s="7" t="s">
        <v>8</v>
      </c>
      <c r="N19">
        <f t="shared" ref="N19:R19" si="8">N11</f>
        <v>178.06688976561304</v>
      </c>
      <c r="O19">
        <f t="shared" si="8"/>
        <v>291.67149267505334</v>
      </c>
      <c r="P19">
        <f t="shared" si="8"/>
        <v>233.61506436943574</v>
      </c>
      <c r="Q19">
        <f t="shared" si="8"/>
        <v>124.80909308247557</v>
      </c>
      <c r="R19">
        <f t="shared" si="8"/>
        <v>115.88115334777811</v>
      </c>
      <c r="S19" s="49"/>
    </row>
    <row r="20" spans="1:19" ht="14.4" customHeight="1">
      <c r="A20" s="119" t="s">
        <v>24</v>
      </c>
      <c r="B20" s="116">
        <v>100</v>
      </c>
      <c r="C20" s="49">
        <v>182.4</v>
      </c>
      <c r="D20" s="49">
        <v>529.9</v>
      </c>
      <c r="E20" s="49">
        <v>1357.9</v>
      </c>
      <c r="F20" s="49">
        <v>1675.9</v>
      </c>
      <c r="G20" s="49">
        <v>1757.9</v>
      </c>
      <c r="L20" s="7" t="s">
        <v>24</v>
      </c>
      <c r="N20">
        <f t="shared" ref="N20:R20" si="9">N13</f>
        <v>182.39555385898484</v>
      </c>
      <c r="O20">
        <f t="shared" si="9"/>
        <v>290.51981889120856</v>
      </c>
      <c r="P20">
        <f t="shared" si="9"/>
        <v>256.24880462231596</v>
      </c>
      <c r="Q20">
        <f t="shared" si="9"/>
        <v>123.42061693023815</v>
      </c>
      <c r="R20">
        <f t="shared" si="9"/>
        <v>104.89208933807083</v>
      </c>
      <c r="S20" s="49"/>
    </row>
    <row r="21" spans="1:19">
      <c r="A21" s="48"/>
      <c r="B21" s="48"/>
      <c r="C21" s="48"/>
      <c r="D21" s="48"/>
      <c r="E21" s="48"/>
      <c r="F21" s="48"/>
      <c r="G21" s="48"/>
    </row>
    <row r="22" spans="1:19">
      <c r="B22" s="44"/>
      <c r="C22" s="44"/>
      <c r="D22" s="44"/>
      <c r="E22" s="44"/>
      <c r="F22" s="45"/>
      <c r="G22" s="45"/>
      <c r="H22" s="156" t="s">
        <v>89</v>
      </c>
      <c r="I22" s="158" t="s">
        <v>90</v>
      </c>
      <c r="J22" s="158"/>
      <c r="K22" s="143"/>
    </row>
    <row r="23" spans="1:19">
      <c r="A23" s="7"/>
      <c r="B23" s="46"/>
      <c r="C23" s="46"/>
      <c r="D23" s="46"/>
      <c r="E23" s="46"/>
      <c r="F23" s="46"/>
      <c r="G23" s="46"/>
      <c r="H23" s="157"/>
      <c r="I23" s="158"/>
      <c r="J23" s="158"/>
      <c r="K23" s="143"/>
    </row>
    <row r="24" spans="1:19">
      <c r="A24" s="7"/>
      <c r="B24" s="11"/>
      <c r="C24" s="11"/>
      <c r="D24" s="11"/>
      <c r="E24" s="11"/>
      <c r="F24" s="11"/>
      <c r="G24" s="11"/>
      <c r="H24" s="157"/>
      <c r="I24" s="158"/>
      <c r="J24" s="158"/>
      <c r="K24" s="143"/>
    </row>
    <row r="25" spans="1:19">
      <c r="H25" s="157"/>
      <c r="I25" s="158"/>
      <c r="J25" s="158"/>
      <c r="K25" s="143"/>
    </row>
    <row r="26" spans="1:19">
      <c r="H26" s="157"/>
      <c r="I26" s="158"/>
      <c r="J26" s="158"/>
      <c r="K26" s="143"/>
    </row>
    <row r="27" spans="1:19">
      <c r="H27" s="157"/>
      <c r="I27" s="158"/>
      <c r="J27" s="158"/>
      <c r="K27" s="143"/>
    </row>
    <row r="28" spans="1:19">
      <c r="H28" s="157"/>
      <c r="I28" s="158"/>
      <c r="J28" s="158"/>
      <c r="K28" s="143"/>
    </row>
    <row r="29" spans="1:19">
      <c r="H29" s="157"/>
      <c r="I29" s="158"/>
      <c r="J29" s="158"/>
      <c r="K29" s="143"/>
    </row>
    <row r="30" spans="1:19">
      <c r="H30" s="157"/>
      <c r="I30" s="158"/>
      <c r="J30" s="158"/>
      <c r="K30" s="143"/>
    </row>
    <row r="31" spans="1:19">
      <c r="H31" s="157"/>
      <c r="I31" s="158"/>
      <c r="J31" s="158"/>
      <c r="K31" s="143"/>
    </row>
    <row r="32" spans="1:19">
      <c r="H32" s="157"/>
      <c r="I32" s="158"/>
      <c r="J32" s="158"/>
      <c r="K32" s="143"/>
    </row>
    <row r="33" spans="1:18">
      <c r="H33" s="157"/>
      <c r="I33" s="158"/>
      <c r="J33" s="158"/>
      <c r="K33" s="143"/>
    </row>
    <row r="34" spans="1:18">
      <c r="H34" s="157"/>
      <c r="I34" s="158"/>
      <c r="J34" s="158"/>
      <c r="K34" s="143"/>
    </row>
    <row r="35" spans="1:18">
      <c r="H35" s="157"/>
      <c r="I35" s="158"/>
      <c r="J35" s="158"/>
      <c r="K35" s="143"/>
    </row>
    <row r="36" spans="1:18">
      <c r="H36" s="157"/>
      <c r="I36" s="158"/>
      <c r="J36" s="158"/>
      <c r="K36" s="143"/>
    </row>
    <row r="37" spans="1:18">
      <c r="H37" s="157"/>
      <c r="I37" s="158"/>
      <c r="J37" s="158"/>
      <c r="K37" s="143"/>
    </row>
    <row r="38" spans="1:18">
      <c r="H38" s="157"/>
      <c r="I38" s="158"/>
      <c r="J38" s="158"/>
      <c r="K38" s="143"/>
    </row>
    <row r="40" spans="1:18">
      <c r="A40" s="117"/>
      <c r="B40" s="117">
        <v>2019</v>
      </c>
      <c r="C40" s="44">
        <v>2020</v>
      </c>
      <c r="D40" s="44">
        <v>2021</v>
      </c>
      <c r="E40" s="44">
        <v>2022</v>
      </c>
      <c r="F40" s="45">
        <v>2023</v>
      </c>
      <c r="G40" s="117">
        <v>2024</v>
      </c>
      <c r="M40" s="121">
        <v>2019</v>
      </c>
      <c r="N40" s="121">
        <v>2020</v>
      </c>
      <c r="O40" s="121">
        <v>2021</v>
      </c>
      <c r="P40" s="121">
        <v>2022</v>
      </c>
      <c r="Q40" s="121">
        <v>2023</v>
      </c>
      <c r="R40" s="121">
        <v>2024</v>
      </c>
    </row>
    <row r="41" spans="1:18">
      <c r="A41" s="119" t="s">
        <v>24</v>
      </c>
      <c r="B41" s="120">
        <v>100</v>
      </c>
      <c r="C41" s="120">
        <v>182.4</v>
      </c>
      <c r="D41" s="120">
        <v>529.9</v>
      </c>
      <c r="E41" s="120">
        <v>1357.9</v>
      </c>
      <c r="F41" s="120">
        <v>1675.9</v>
      </c>
      <c r="G41" s="120">
        <v>1757.9</v>
      </c>
      <c r="L41" s="121" t="s">
        <v>24</v>
      </c>
      <c r="N41">
        <f t="shared" ref="N41:R41" si="10">N20</f>
        <v>182.39555385898484</v>
      </c>
      <c r="O41">
        <f t="shared" si="10"/>
        <v>290.51981889120856</v>
      </c>
      <c r="P41">
        <f t="shared" si="10"/>
        <v>256.24880462231596</v>
      </c>
      <c r="Q41">
        <f t="shared" si="10"/>
        <v>123.42061693023815</v>
      </c>
      <c r="R41">
        <f t="shared" si="10"/>
        <v>104.89208933807083</v>
      </c>
    </row>
    <row r="42" spans="1:18">
      <c r="A42" s="121" t="s">
        <v>25</v>
      </c>
      <c r="B42" s="120">
        <v>100</v>
      </c>
      <c r="C42" s="120">
        <v>161.4</v>
      </c>
      <c r="D42" s="120">
        <v>446.9</v>
      </c>
      <c r="E42" s="120">
        <v>1214.0999999999999</v>
      </c>
      <c r="F42" s="120">
        <v>1536.2</v>
      </c>
      <c r="G42" s="120">
        <v>1632</v>
      </c>
      <c r="L42" s="121" t="s">
        <v>25</v>
      </c>
      <c r="N42">
        <f t="shared" ref="N42:R42" si="11">N14</f>
        <v>161.43930067793593</v>
      </c>
      <c r="O42">
        <f t="shared" si="11"/>
        <v>276.84560387861887</v>
      </c>
      <c r="P42">
        <f t="shared" si="11"/>
        <v>271.65744446666173</v>
      </c>
      <c r="Q42">
        <f t="shared" si="11"/>
        <v>126.52700795823392</v>
      </c>
      <c r="R42">
        <f t="shared" si="11"/>
        <v>106.23219137736233</v>
      </c>
    </row>
    <row r="44" spans="1:18">
      <c r="H44" s="156" t="s">
        <v>89</v>
      </c>
      <c r="I44" s="158" t="s">
        <v>91</v>
      </c>
      <c r="J44" s="158"/>
      <c r="K44" s="143"/>
    </row>
    <row r="45" spans="1:18">
      <c r="H45" s="157"/>
      <c r="I45" s="158"/>
      <c r="J45" s="158"/>
      <c r="K45" s="143"/>
    </row>
    <row r="46" spans="1:18">
      <c r="H46" s="157"/>
      <c r="I46" s="158"/>
      <c r="J46" s="158"/>
      <c r="K46" s="143"/>
    </row>
    <row r="47" spans="1:18">
      <c r="H47" s="157"/>
      <c r="I47" s="158"/>
      <c r="J47" s="158"/>
      <c r="K47" s="143"/>
    </row>
    <row r="48" spans="1:18">
      <c r="H48" s="157"/>
      <c r="I48" s="158"/>
      <c r="J48" s="158"/>
      <c r="K48" s="143"/>
    </row>
    <row r="49" spans="1:18">
      <c r="H49" s="157"/>
      <c r="I49" s="158"/>
      <c r="J49" s="158"/>
      <c r="K49" s="143"/>
    </row>
    <row r="50" spans="1:18">
      <c r="H50" s="157"/>
      <c r="I50" s="158"/>
      <c r="J50" s="158"/>
      <c r="K50" s="143"/>
    </row>
    <row r="51" spans="1:18">
      <c r="H51" s="157"/>
      <c r="I51" s="158"/>
      <c r="J51" s="158"/>
      <c r="K51" s="143"/>
    </row>
    <row r="52" spans="1:18">
      <c r="H52" s="157"/>
      <c r="I52" s="158"/>
      <c r="J52" s="158"/>
      <c r="K52" s="143"/>
    </row>
    <row r="53" spans="1:18">
      <c r="H53" s="157"/>
      <c r="I53" s="158"/>
      <c r="J53" s="158"/>
      <c r="K53" s="143"/>
    </row>
    <row r="54" spans="1:18">
      <c r="H54" s="157"/>
      <c r="I54" s="158"/>
      <c r="J54" s="158"/>
      <c r="K54" s="143"/>
    </row>
    <row r="55" spans="1:18">
      <c r="H55" s="157"/>
      <c r="I55" s="158"/>
      <c r="J55" s="158"/>
      <c r="K55" s="143"/>
    </row>
    <row r="56" spans="1:18">
      <c r="H56" s="157"/>
      <c r="I56" s="158"/>
      <c r="J56" s="158"/>
      <c r="K56" s="143"/>
    </row>
    <row r="57" spans="1:18">
      <c r="G57" s="45"/>
      <c r="H57" s="157"/>
      <c r="I57" s="158"/>
      <c r="J57" s="158"/>
      <c r="K57" s="143"/>
    </row>
    <row r="58" spans="1:18">
      <c r="G58" s="11"/>
      <c r="H58" s="157"/>
      <c r="I58" s="158"/>
      <c r="J58" s="158"/>
      <c r="K58" s="143"/>
    </row>
    <row r="59" spans="1:18">
      <c r="G59" s="11"/>
      <c r="H59" s="157"/>
      <c r="I59" s="158"/>
      <c r="J59" s="158"/>
      <c r="K59" s="143"/>
    </row>
    <row r="60" spans="1:18">
      <c r="H60" s="157"/>
      <c r="I60" s="158"/>
      <c r="J60" s="158"/>
      <c r="K60" s="143"/>
    </row>
    <row r="63" spans="1:18">
      <c r="A63" s="117"/>
      <c r="B63" s="117">
        <v>2019</v>
      </c>
      <c r="C63" s="44">
        <v>2020</v>
      </c>
      <c r="D63" s="44">
        <v>2021</v>
      </c>
      <c r="E63" s="44">
        <v>2022</v>
      </c>
      <c r="F63" s="45">
        <v>2023</v>
      </c>
      <c r="G63" s="117">
        <v>2024</v>
      </c>
      <c r="M63" s="121">
        <v>2019</v>
      </c>
      <c r="N63" s="121">
        <v>2020</v>
      </c>
      <c r="O63" s="121">
        <v>2021</v>
      </c>
      <c r="P63" s="121">
        <v>2022</v>
      </c>
      <c r="Q63" s="121">
        <v>2023</v>
      </c>
      <c r="R63" s="121">
        <v>2024</v>
      </c>
    </row>
    <row r="64" spans="1:18">
      <c r="A64" s="119" t="s">
        <v>24</v>
      </c>
      <c r="B64" s="21">
        <v>100</v>
      </c>
      <c r="C64" s="21">
        <f t="shared" ref="C64:G64" si="12">C41</f>
        <v>182.4</v>
      </c>
      <c r="D64" s="21">
        <f t="shared" si="12"/>
        <v>529.9</v>
      </c>
      <c r="E64" s="21">
        <f t="shared" si="12"/>
        <v>1357.9</v>
      </c>
      <c r="F64" s="21">
        <f t="shared" si="12"/>
        <v>1675.9</v>
      </c>
      <c r="G64" s="21">
        <f t="shared" si="12"/>
        <v>1757.9</v>
      </c>
      <c r="L64" s="121" t="s">
        <v>23</v>
      </c>
      <c r="N64">
        <f t="shared" ref="N64:R64" si="13">N12</f>
        <v>140.90760935173634</v>
      </c>
      <c r="O64">
        <f t="shared" si="13"/>
        <v>316.75959785189741</v>
      </c>
      <c r="P64">
        <f t="shared" si="13"/>
        <v>162.93827373082564</v>
      </c>
      <c r="Q64">
        <f t="shared" si="13"/>
        <v>297.67723083664947</v>
      </c>
      <c r="R64">
        <f t="shared" si="13"/>
        <v>79.857479624512024</v>
      </c>
    </row>
    <row r="65" spans="1:18">
      <c r="A65" s="7" t="s">
        <v>23</v>
      </c>
      <c r="B65" s="21">
        <v>100</v>
      </c>
      <c r="C65" s="21">
        <f t="shared" ref="C65:G65" si="14">C12</f>
        <v>140.90760935173634</v>
      </c>
      <c r="D65" s="21">
        <f t="shared" si="14"/>
        <v>446.33837672528267</v>
      </c>
      <c r="E65" s="21">
        <f t="shared" si="14"/>
        <v>727.25604603436477</v>
      </c>
      <c r="F65" s="21">
        <f t="shared" si="14"/>
        <v>2164.8756589272061</v>
      </c>
      <c r="G65" s="21">
        <f t="shared" si="14"/>
        <v>1728.8151382238141</v>
      </c>
      <c r="L65" s="121" t="s">
        <v>24</v>
      </c>
      <c r="N65">
        <f t="shared" ref="N65:R65" si="15">N41</f>
        <v>182.39555385898484</v>
      </c>
      <c r="O65">
        <f t="shared" si="15"/>
        <v>290.51981889120856</v>
      </c>
      <c r="P65">
        <f t="shared" si="15"/>
        <v>256.24880462231596</v>
      </c>
      <c r="Q65">
        <f t="shared" si="15"/>
        <v>123.42061693023815</v>
      </c>
      <c r="R65">
        <f t="shared" si="15"/>
        <v>104.89208933807083</v>
      </c>
    </row>
    <row r="67" spans="1:18">
      <c r="H67" s="156" t="s">
        <v>89</v>
      </c>
      <c r="I67" s="158" t="s">
        <v>92</v>
      </c>
      <c r="J67" s="158"/>
      <c r="K67" s="143"/>
    </row>
    <row r="68" spans="1:18">
      <c r="H68" s="157"/>
      <c r="I68" s="158"/>
      <c r="J68" s="158"/>
      <c r="K68" s="143"/>
    </row>
    <row r="69" spans="1:18">
      <c r="H69" s="157"/>
      <c r="I69" s="158"/>
      <c r="J69" s="158"/>
      <c r="K69" s="143"/>
    </row>
    <row r="70" spans="1:18">
      <c r="H70" s="157"/>
      <c r="I70" s="158"/>
      <c r="J70" s="158"/>
      <c r="K70" s="143"/>
    </row>
    <row r="71" spans="1:18">
      <c r="H71" s="157"/>
      <c r="I71" s="158"/>
      <c r="J71" s="158"/>
      <c r="K71" s="143"/>
    </row>
    <row r="72" spans="1:18">
      <c r="H72" s="157"/>
      <c r="I72" s="158"/>
      <c r="J72" s="158"/>
      <c r="K72" s="143"/>
    </row>
    <row r="73" spans="1:18">
      <c r="H73" s="157"/>
      <c r="I73" s="158"/>
      <c r="J73" s="158"/>
      <c r="K73" s="143"/>
    </row>
    <row r="74" spans="1:18">
      <c r="H74" s="157"/>
      <c r="I74" s="158"/>
      <c r="J74" s="158"/>
      <c r="K74" s="143"/>
    </row>
    <row r="75" spans="1:18">
      <c r="H75" s="157"/>
      <c r="I75" s="158"/>
      <c r="J75" s="158"/>
      <c r="K75" s="143"/>
    </row>
    <row r="76" spans="1:18">
      <c r="H76" s="157"/>
      <c r="I76" s="158"/>
      <c r="J76" s="158"/>
      <c r="K76" s="143"/>
    </row>
    <row r="77" spans="1:18">
      <c r="H77" s="157"/>
      <c r="I77" s="158"/>
      <c r="J77" s="158"/>
      <c r="K77" s="143"/>
    </row>
    <row r="78" spans="1:18">
      <c r="H78" s="157"/>
      <c r="I78" s="158"/>
      <c r="J78" s="158"/>
      <c r="K78" s="143"/>
    </row>
    <row r="79" spans="1:18">
      <c r="H79" s="157"/>
      <c r="I79" s="158"/>
      <c r="J79" s="158"/>
      <c r="K79" s="143"/>
    </row>
    <row r="80" spans="1:18">
      <c r="H80" s="157"/>
      <c r="I80" s="158"/>
      <c r="J80" s="158"/>
      <c r="K80" s="143"/>
    </row>
    <row r="81" spans="1:18">
      <c r="H81" s="157"/>
      <c r="I81" s="158"/>
      <c r="J81" s="158"/>
      <c r="K81" s="143"/>
    </row>
    <row r="82" spans="1:18">
      <c r="H82" s="157"/>
      <c r="I82" s="158"/>
      <c r="J82" s="158"/>
      <c r="K82" s="143"/>
    </row>
    <row r="83" spans="1:18">
      <c r="H83" s="157"/>
      <c r="I83" s="158"/>
      <c r="J83" s="158"/>
      <c r="K83" s="143"/>
    </row>
    <row r="84" spans="1:18">
      <c r="B84" s="44"/>
      <c r="C84" s="44"/>
      <c r="D84" s="44"/>
      <c r="E84" s="44"/>
      <c r="F84" s="45"/>
      <c r="G84" s="45"/>
    </row>
    <row r="85" spans="1:18">
      <c r="A85" s="117"/>
      <c r="B85" s="117">
        <v>2019</v>
      </c>
      <c r="C85" s="44">
        <v>2020</v>
      </c>
      <c r="D85" s="44">
        <v>2021</v>
      </c>
      <c r="E85" s="44">
        <v>2022</v>
      </c>
      <c r="F85" s="45">
        <v>2023</v>
      </c>
      <c r="G85" s="117">
        <v>2024</v>
      </c>
      <c r="M85" s="121">
        <v>2019</v>
      </c>
      <c r="N85" s="121">
        <v>2020</v>
      </c>
      <c r="O85" s="121">
        <v>2021</v>
      </c>
      <c r="P85" s="121">
        <v>2022</v>
      </c>
      <c r="Q85" s="121">
        <v>2023</v>
      </c>
      <c r="R85" s="121">
        <v>2024</v>
      </c>
    </row>
    <row r="86" spans="1:18">
      <c r="A86" s="119" t="s">
        <v>24</v>
      </c>
      <c r="B86" s="120">
        <v>100</v>
      </c>
      <c r="C86" s="120">
        <f t="shared" ref="C86:G86" si="16">C64</f>
        <v>182.4</v>
      </c>
      <c r="D86" s="120">
        <f t="shared" si="16"/>
        <v>529.9</v>
      </c>
      <c r="E86" s="120">
        <f t="shared" si="16"/>
        <v>1357.9</v>
      </c>
      <c r="F86" s="120">
        <f t="shared" si="16"/>
        <v>1675.9</v>
      </c>
      <c r="G86" s="120">
        <f t="shared" si="16"/>
        <v>1757.9</v>
      </c>
      <c r="L86" s="121" t="s">
        <v>24</v>
      </c>
      <c r="N86">
        <f t="shared" ref="N86:R86" si="17">N65</f>
        <v>182.39555385898484</v>
      </c>
      <c r="O86">
        <f t="shared" si="17"/>
        <v>290.51981889120856</v>
      </c>
      <c r="P86">
        <f t="shared" si="17"/>
        <v>256.24880462231596</v>
      </c>
      <c r="Q86">
        <f t="shared" si="17"/>
        <v>123.42061693023815</v>
      </c>
      <c r="R86">
        <f t="shared" si="17"/>
        <v>104.89208933807083</v>
      </c>
    </row>
    <row r="87" spans="1:18">
      <c r="A87" s="122" t="s">
        <v>26</v>
      </c>
      <c r="B87" s="120">
        <v>100</v>
      </c>
      <c r="C87" s="120">
        <f t="shared" ref="C87:G87" si="18">C15</f>
        <v>29.336014583998949</v>
      </c>
      <c r="D87" s="120">
        <f t="shared" si="18"/>
        <v>65.537315115863862</v>
      </c>
      <c r="E87" s="120">
        <f t="shared" si="18"/>
        <v>1251.5828149373226</v>
      </c>
      <c r="F87" s="120">
        <f t="shared" si="18"/>
        <v>1709.5004604484202</v>
      </c>
      <c r="G87" s="120">
        <f t="shared" si="18"/>
        <v>1717.6866695483845</v>
      </c>
      <c r="L87" s="121" t="s">
        <v>26</v>
      </c>
      <c r="N87">
        <f t="shared" ref="N87:R87" si="19">N15</f>
        <v>29.336014583998949</v>
      </c>
      <c r="O87">
        <f t="shared" si="19"/>
        <v>223.40224480120955</v>
      </c>
      <c r="P87">
        <f t="shared" si="19"/>
        <v>1909.7254941320696</v>
      </c>
      <c r="Q87">
        <f t="shared" si="19"/>
        <v>136.58708317547726</v>
      </c>
      <c r="R87">
        <f t="shared" si="19"/>
        <v>100.47886556858938</v>
      </c>
    </row>
    <row r="89" spans="1:18">
      <c r="H89" s="156" t="s">
        <v>89</v>
      </c>
      <c r="I89" s="158" t="s">
        <v>93</v>
      </c>
      <c r="J89" s="158"/>
      <c r="K89" s="143"/>
    </row>
    <row r="90" spans="1:18">
      <c r="H90" s="157"/>
      <c r="I90" s="158"/>
      <c r="J90" s="158"/>
      <c r="K90" s="143"/>
    </row>
    <row r="91" spans="1:18">
      <c r="H91" s="157"/>
      <c r="I91" s="158"/>
      <c r="J91" s="158"/>
      <c r="K91" s="143"/>
    </row>
    <row r="92" spans="1:18">
      <c r="H92" s="157"/>
      <c r="I92" s="158"/>
      <c r="J92" s="158"/>
      <c r="K92" s="143"/>
    </row>
    <row r="93" spans="1:18">
      <c r="H93" s="157"/>
      <c r="I93" s="158"/>
      <c r="J93" s="158"/>
      <c r="K93" s="143"/>
    </row>
    <row r="94" spans="1:18">
      <c r="H94" s="157"/>
      <c r="I94" s="158"/>
      <c r="J94" s="158"/>
      <c r="K94" s="143"/>
    </row>
    <row r="95" spans="1:18">
      <c r="H95" s="157"/>
      <c r="I95" s="158"/>
      <c r="J95" s="158"/>
      <c r="K95" s="143"/>
    </row>
    <row r="96" spans="1:18">
      <c r="H96" s="157"/>
      <c r="I96" s="158"/>
      <c r="J96" s="158"/>
      <c r="K96" s="143"/>
    </row>
    <row r="97" spans="8:11">
      <c r="H97" s="157"/>
      <c r="I97" s="158"/>
      <c r="J97" s="158"/>
      <c r="K97" s="143"/>
    </row>
    <row r="98" spans="8:11">
      <c r="H98" s="157"/>
      <c r="I98" s="158"/>
      <c r="J98" s="158"/>
      <c r="K98" s="143"/>
    </row>
    <row r="99" spans="8:11">
      <c r="H99" s="157"/>
      <c r="I99" s="158"/>
      <c r="J99" s="158"/>
      <c r="K99" s="143"/>
    </row>
    <row r="100" spans="8:11">
      <c r="H100" s="157"/>
      <c r="I100" s="158"/>
      <c r="J100" s="158"/>
      <c r="K100" s="143"/>
    </row>
    <row r="101" spans="8:11">
      <c r="H101" s="157"/>
      <c r="I101" s="158"/>
      <c r="J101" s="158"/>
      <c r="K101" s="143"/>
    </row>
    <row r="102" spans="8:11">
      <c r="H102" s="157"/>
      <c r="I102" s="158"/>
      <c r="J102" s="158"/>
      <c r="K102" s="143"/>
    </row>
    <row r="103" spans="8:11">
      <c r="H103" s="157"/>
      <c r="I103" s="158"/>
      <c r="J103" s="158"/>
      <c r="K103" s="143"/>
    </row>
    <row r="104" spans="8:11">
      <c r="H104" s="157"/>
      <c r="I104" s="158"/>
      <c r="J104" s="158"/>
      <c r="K104" s="143"/>
    </row>
    <row r="105" spans="8:11">
      <c r="H105" s="157"/>
      <c r="I105" s="158"/>
      <c r="J105" s="158"/>
      <c r="K105" s="143"/>
    </row>
  </sheetData>
  <mergeCells count="8">
    <mergeCell ref="H67:H83"/>
    <mergeCell ref="I67:J83"/>
    <mergeCell ref="H89:H105"/>
    <mergeCell ref="I89:J105"/>
    <mergeCell ref="I22:J38"/>
    <mergeCell ref="H22:H38"/>
    <mergeCell ref="H44:H60"/>
    <mergeCell ref="I44:J6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Q71"/>
  <sheetViews>
    <sheetView topLeftCell="A32" zoomScale="80" zoomScaleNormal="80" workbookViewId="0">
      <selection activeCell="G62" sqref="G62"/>
    </sheetView>
  </sheetViews>
  <sheetFormatPr defaultColWidth="9" defaultRowHeight="14.4"/>
  <cols>
    <col min="1" max="1" width="5" bestFit="1" customWidth="1"/>
    <col min="2" max="2" width="37" customWidth="1"/>
    <col min="3" max="3" width="2.88671875" bestFit="1" customWidth="1"/>
    <col min="4" max="4" width="29.44140625" customWidth="1"/>
    <col min="5" max="5" width="27.88671875" customWidth="1"/>
    <col min="6" max="6" width="21.33203125" customWidth="1"/>
    <col min="7" max="7" width="16.88671875" customWidth="1"/>
    <col min="8" max="8" width="12.6640625" style="1" customWidth="1"/>
    <col min="9" max="9" width="3.77734375" customWidth="1"/>
    <col min="14" max="14" width="13.6640625" customWidth="1"/>
    <col min="16" max="16" width="3.33203125" customWidth="1"/>
  </cols>
  <sheetData>
    <row r="2" spans="1:17">
      <c r="A2" s="2"/>
      <c r="B2" s="3"/>
      <c r="C2" s="3"/>
      <c r="D2" s="3"/>
      <c r="E2" s="3"/>
      <c r="F2" s="3"/>
      <c r="G2" s="4"/>
      <c r="H2" s="159" t="s">
        <v>27</v>
      </c>
    </row>
    <row r="3" spans="1:17">
      <c r="A3" s="5"/>
      <c r="B3" s="6" t="s">
        <v>28</v>
      </c>
      <c r="C3" s="7" t="s">
        <v>29</v>
      </c>
      <c r="D3" s="8" t="s">
        <v>30</v>
      </c>
      <c r="E3" s="7" t="s">
        <v>31</v>
      </c>
      <c r="F3" s="9"/>
      <c r="G3" s="10"/>
      <c r="H3" s="160"/>
      <c r="J3" s="166"/>
      <c r="K3" s="167"/>
      <c r="L3" s="167"/>
      <c r="M3" s="168"/>
    </row>
    <row r="4" spans="1:17">
      <c r="A4" s="5"/>
      <c r="D4" s="11"/>
      <c r="G4" s="12"/>
      <c r="H4" s="160"/>
      <c r="J4" s="169"/>
      <c r="K4" s="170"/>
      <c r="L4" s="170"/>
      <c r="M4" s="171"/>
    </row>
    <row r="5" spans="1:17">
      <c r="A5" s="125">
        <v>2024</v>
      </c>
      <c r="B5" s="13">
        <f>D5/E5</f>
        <v>0.53261608834799357</v>
      </c>
      <c r="D5" s="11">
        <v>26394774</v>
      </c>
      <c r="E5" s="11">
        <v>49556847</v>
      </c>
      <c r="G5" s="12"/>
      <c r="H5" s="160"/>
      <c r="J5" s="172"/>
      <c r="K5" s="173"/>
      <c r="L5" s="173"/>
      <c r="M5" s="174"/>
    </row>
    <row r="6" spans="1:17">
      <c r="A6" s="125">
        <v>2023</v>
      </c>
      <c r="B6" s="13">
        <f>D6/E6</f>
        <v>0.81740939943821134</v>
      </c>
      <c r="D6" s="11">
        <v>28783053</v>
      </c>
      <c r="E6" s="11">
        <v>35212530</v>
      </c>
      <c r="F6" s="11"/>
      <c r="G6" s="10"/>
      <c r="H6" s="160"/>
    </row>
    <row r="7" spans="1:17">
      <c r="A7" s="5"/>
      <c r="G7" s="12"/>
      <c r="H7" s="160"/>
    </row>
    <row r="8" spans="1:17">
      <c r="A8" s="5"/>
      <c r="D8" s="8" t="s">
        <v>30</v>
      </c>
      <c r="E8" s="7" t="s">
        <v>31</v>
      </c>
      <c r="F8" s="7" t="s">
        <v>8</v>
      </c>
      <c r="G8" s="14" t="s">
        <v>32</v>
      </c>
      <c r="H8" s="160"/>
    </row>
    <row r="9" spans="1:17">
      <c r="A9" s="5"/>
      <c r="B9" s="6" t="s">
        <v>33</v>
      </c>
      <c r="C9" t="s">
        <v>34</v>
      </c>
      <c r="D9" s="11"/>
      <c r="E9" s="11"/>
      <c r="G9" s="10"/>
      <c r="H9" s="160"/>
      <c r="J9" s="27"/>
      <c r="K9" s="28"/>
      <c r="L9" s="28"/>
      <c r="M9" s="28"/>
      <c r="N9" s="29"/>
    </row>
    <row r="10" spans="1:17">
      <c r="A10" s="125">
        <v>2024</v>
      </c>
      <c r="B10" s="13">
        <f>G10/E10</f>
        <v>0.26649298330057197</v>
      </c>
      <c r="D10" s="11">
        <f>$D$5</f>
        <v>26394774</v>
      </c>
      <c r="E10" s="11">
        <f>$E$5</f>
        <v>49556847</v>
      </c>
      <c r="F10" s="11">
        <v>13188222</v>
      </c>
      <c r="G10" s="10">
        <f>D10-F10</f>
        <v>13206552</v>
      </c>
      <c r="H10" s="160"/>
      <c r="J10" s="30"/>
      <c r="K10" s="31"/>
      <c r="L10" s="31"/>
      <c r="M10" s="31"/>
      <c r="N10" s="32"/>
    </row>
    <row r="11" spans="1:17">
      <c r="A11" s="125">
        <v>2023</v>
      </c>
      <c r="B11" s="13">
        <f>G11/E11</f>
        <v>0.42638109218508297</v>
      </c>
      <c r="D11" s="11">
        <f>$D$6</f>
        <v>28783053</v>
      </c>
      <c r="E11" s="11">
        <f>$E$6</f>
        <v>35212530</v>
      </c>
      <c r="F11" s="11">
        <v>11380817</v>
      </c>
      <c r="G11" s="10">
        <f>D10-F11</f>
        <v>15013957</v>
      </c>
      <c r="H11" s="160"/>
      <c r="J11" s="33"/>
      <c r="K11" s="34"/>
      <c r="L11" s="34"/>
      <c r="M11" s="34"/>
      <c r="N11" s="35"/>
    </row>
    <row r="12" spans="1:17" ht="15" thickTop="1">
      <c r="A12" s="5"/>
      <c r="G12" s="12"/>
      <c r="H12" s="160"/>
    </row>
    <row r="13" spans="1:17" ht="15" thickBot="1">
      <c r="A13" s="5"/>
      <c r="D13" s="7" t="s">
        <v>35</v>
      </c>
      <c r="E13" s="7" t="s">
        <v>36</v>
      </c>
      <c r="F13" t="s">
        <v>88</v>
      </c>
      <c r="G13" s="7" t="s">
        <v>31</v>
      </c>
      <c r="H13" s="160"/>
    </row>
    <row r="14" spans="1:17" ht="15" thickTop="1">
      <c r="A14" s="5"/>
      <c r="B14" s="6" t="s">
        <v>37</v>
      </c>
      <c r="C14" t="s">
        <v>34</v>
      </c>
      <c r="H14" s="160"/>
      <c r="J14" s="166"/>
      <c r="K14" s="167"/>
      <c r="L14" s="167"/>
      <c r="M14" s="167"/>
      <c r="N14" s="167"/>
      <c r="O14" s="167"/>
      <c r="P14" s="167"/>
      <c r="Q14" s="168"/>
    </row>
    <row r="15" spans="1:17">
      <c r="A15" s="125">
        <v>2024</v>
      </c>
      <c r="B15" s="13">
        <f>F15/G15</f>
        <v>0</v>
      </c>
      <c r="D15" s="11">
        <v>2196824</v>
      </c>
      <c r="E15" s="11">
        <v>0</v>
      </c>
      <c r="F15" s="11">
        <v>0</v>
      </c>
      <c r="G15" s="11">
        <f>$E$5</f>
        <v>49556847</v>
      </c>
      <c r="H15" s="160"/>
      <c r="J15" s="169"/>
      <c r="K15" s="170"/>
      <c r="L15" s="170"/>
      <c r="M15" s="170"/>
      <c r="N15" s="170"/>
      <c r="O15" s="170"/>
      <c r="P15" s="170"/>
      <c r="Q15" s="171"/>
    </row>
    <row r="16" spans="1:17" ht="15" thickBot="1">
      <c r="A16" s="125">
        <v>2023</v>
      </c>
      <c r="B16" s="13">
        <f>F16/G16</f>
        <v>0</v>
      </c>
      <c r="D16" s="11">
        <v>5261236</v>
      </c>
      <c r="E16" s="11">
        <v>0</v>
      </c>
      <c r="F16" s="11">
        <v>0</v>
      </c>
      <c r="G16" s="11">
        <f>$E$6</f>
        <v>35212530</v>
      </c>
      <c r="H16" s="160"/>
      <c r="J16" s="172"/>
      <c r="K16" s="173"/>
      <c r="L16" s="173"/>
      <c r="M16" s="173"/>
      <c r="N16" s="173"/>
      <c r="O16" s="173"/>
      <c r="P16" s="173"/>
      <c r="Q16" s="174"/>
    </row>
    <row r="17" spans="1:16" ht="15.6" thickTop="1" thickBot="1">
      <c r="A17" s="15"/>
      <c r="B17" s="16"/>
      <c r="C17" s="16"/>
      <c r="D17" s="16"/>
      <c r="E17" s="16"/>
      <c r="F17" s="16"/>
      <c r="G17" s="17"/>
      <c r="H17" s="161"/>
    </row>
    <row r="18" spans="1:16" ht="14.4" customHeight="1">
      <c r="A18" s="5"/>
      <c r="B18" s="6" t="s">
        <v>38</v>
      </c>
      <c r="C18" t="s">
        <v>34</v>
      </c>
      <c r="D18" s="121" t="s">
        <v>39</v>
      </c>
      <c r="E18" s="121" t="s">
        <v>40</v>
      </c>
      <c r="G18" s="10"/>
      <c r="H18" s="159" t="s">
        <v>41</v>
      </c>
    </row>
    <row r="19" spans="1:16">
      <c r="A19" s="5"/>
      <c r="B19" s="6" t="s">
        <v>42</v>
      </c>
      <c r="G19" s="10"/>
      <c r="H19" s="160"/>
      <c r="J19" s="166"/>
      <c r="K19" s="167"/>
      <c r="L19" s="167"/>
      <c r="M19" s="167"/>
      <c r="N19" s="167"/>
      <c r="O19" s="167"/>
      <c r="P19" s="168"/>
    </row>
    <row r="20" spans="1:16">
      <c r="A20" s="125">
        <v>2024</v>
      </c>
      <c r="B20" s="13">
        <f>D20/E20</f>
        <v>0.41704250495718403</v>
      </c>
      <c r="D20" s="11">
        <v>3874170944</v>
      </c>
      <c r="E20" s="11">
        <v>9289630908</v>
      </c>
      <c r="G20" s="10"/>
      <c r="H20" s="160"/>
      <c r="J20" s="169"/>
      <c r="K20" s="170"/>
      <c r="L20" s="170"/>
      <c r="M20" s="170"/>
      <c r="N20" s="170"/>
      <c r="O20" s="170"/>
      <c r="P20" s="171"/>
    </row>
    <row r="21" spans="1:16">
      <c r="A21" s="125">
        <v>2023</v>
      </c>
      <c r="B21" s="13">
        <f>D21/E21</f>
        <v>0.41726268953063961</v>
      </c>
      <c r="D21" s="11">
        <v>3408475435</v>
      </c>
      <c r="E21" s="11">
        <v>8168656150</v>
      </c>
      <c r="G21" s="10"/>
      <c r="H21" s="160"/>
      <c r="J21" s="172"/>
      <c r="K21" s="173"/>
      <c r="L21" s="173"/>
      <c r="M21" s="173"/>
      <c r="N21" s="173"/>
      <c r="O21" s="173"/>
      <c r="P21" s="174"/>
    </row>
    <row r="22" spans="1:16">
      <c r="A22" s="5"/>
      <c r="D22" s="11"/>
      <c r="E22" s="11"/>
      <c r="G22" s="12"/>
      <c r="H22" s="160"/>
    </row>
    <row r="23" spans="1:16">
      <c r="A23" s="5"/>
      <c r="B23" s="6" t="s">
        <v>43</v>
      </c>
      <c r="C23" t="s">
        <v>34</v>
      </c>
      <c r="D23" t="s">
        <v>31</v>
      </c>
      <c r="E23" t="s">
        <v>44</v>
      </c>
      <c r="G23" s="12"/>
      <c r="H23" s="160"/>
    </row>
    <row r="24" spans="1:16">
      <c r="A24" s="125">
        <v>2024</v>
      </c>
      <c r="B24" s="13">
        <f>D24/E24</f>
        <v>0.80089493582566496</v>
      </c>
      <c r="D24" s="11">
        <f>$G$15</f>
        <v>49556847</v>
      </c>
      <c r="E24" s="11">
        <v>61876839</v>
      </c>
      <c r="G24" s="12"/>
      <c r="H24" s="160"/>
      <c r="J24" s="36"/>
      <c r="K24" s="37"/>
      <c r="L24" s="37"/>
      <c r="M24" s="37"/>
      <c r="N24" s="37"/>
      <c r="O24" s="5"/>
    </row>
    <row r="25" spans="1:16">
      <c r="A25" s="125">
        <v>2023</v>
      </c>
      <c r="B25" s="13">
        <f>D25/E25</f>
        <v>0.69400371837858643</v>
      </c>
      <c r="D25" s="11">
        <f>$G$16</f>
        <v>35212530</v>
      </c>
      <c r="E25" s="11">
        <v>50738244</v>
      </c>
      <c r="G25" s="12"/>
      <c r="H25" s="160"/>
      <c r="J25" s="38"/>
      <c r="K25" s="39"/>
      <c r="L25" s="39"/>
      <c r="M25" s="39"/>
      <c r="N25" s="39"/>
      <c r="O25" s="5"/>
    </row>
    <row r="26" spans="1:16">
      <c r="A26" s="5"/>
      <c r="G26" s="12"/>
      <c r="H26" s="160"/>
      <c r="J26" s="40"/>
      <c r="K26" s="41"/>
      <c r="L26" s="41"/>
      <c r="M26" s="41"/>
      <c r="N26" s="41"/>
      <c r="O26" s="5"/>
    </row>
    <row r="27" spans="1:16">
      <c r="A27" s="5"/>
      <c r="B27" s="127" t="s">
        <v>84</v>
      </c>
      <c r="C27" t="s">
        <v>34</v>
      </c>
      <c r="D27" t="s">
        <v>45</v>
      </c>
      <c r="E27" t="s">
        <v>46</v>
      </c>
      <c r="F27" t="s">
        <v>44</v>
      </c>
      <c r="G27" s="126" t="s">
        <v>47</v>
      </c>
      <c r="H27" s="160"/>
    </row>
    <row r="28" spans="1:16">
      <c r="A28" s="125">
        <v>2024</v>
      </c>
      <c r="B28" s="13">
        <f>D28/G28</f>
        <v>1.1267382183238788</v>
      </c>
      <c r="D28" s="11">
        <v>205917309</v>
      </c>
      <c r="E28" s="11">
        <v>120878397</v>
      </c>
      <c r="F28" s="11">
        <f>$E$24</f>
        <v>61876839</v>
      </c>
      <c r="G28" s="10">
        <f>E28+F28</f>
        <v>182755236</v>
      </c>
      <c r="H28" s="160"/>
      <c r="I28" s="42"/>
      <c r="J28" s="167"/>
      <c r="K28" s="167"/>
      <c r="L28" s="167"/>
      <c r="M28" s="167"/>
      <c r="N28" s="167"/>
      <c r="O28" s="168"/>
    </row>
    <row r="29" spans="1:16">
      <c r="A29" s="125">
        <v>2023</v>
      </c>
      <c r="B29" s="18">
        <f>D29/G29</f>
        <v>0</v>
      </c>
      <c r="C29" s="16"/>
      <c r="D29" s="19"/>
      <c r="E29" s="19">
        <v>65844785</v>
      </c>
      <c r="F29" s="19">
        <f>$E$25</f>
        <v>50738244</v>
      </c>
      <c r="G29" s="20">
        <f>E29+F29</f>
        <v>116583029</v>
      </c>
      <c r="H29" s="160"/>
      <c r="I29" s="42"/>
      <c r="J29" s="173"/>
      <c r="K29" s="173"/>
      <c r="L29" s="173"/>
      <c r="M29" s="173"/>
      <c r="N29" s="173"/>
      <c r="O29" s="174"/>
    </row>
    <row r="30" spans="1:16" ht="14.4" customHeight="1">
      <c r="A30" s="2"/>
      <c r="B30" s="3"/>
      <c r="C30" s="3"/>
      <c r="D30" s="3"/>
      <c r="E30" s="3"/>
      <c r="F30" s="3"/>
      <c r="G30" s="4"/>
      <c r="H30" s="159" t="s">
        <v>48</v>
      </c>
    </row>
    <row r="31" spans="1:16">
      <c r="A31" s="5"/>
      <c r="B31" s="7" t="s">
        <v>49</v>
      </c>
      <c r="C31" t="s">
        <v>34</v>
      </c>
      <c r="D31" t="s">
        <v>50</v>
      </c>
      <c r="E31" t="s">
        <v>51</v>
      </c>
      <c r="G31" s="12"/>
      <c r="H31" s="160"/>
      <c r="J31" s="36"/>
      <c r="K31" s="37"/>
      <c r="L31" s="37"/>
      <c r="M31" s="37"/>
      <c r="N31" s="37"/>
    </row>
    <row r="32" spans="1:16">
      <c r="A32" s="125">
        <v>2024</v>
      </c>
      <c r="B32" s="13">
        <f>D32/E32</f>
        <v>0.17757798906673214</v>
      </c>
      <c r="D32" s="11">
        <v>8627191</v>
      </c>
      <c r="E32" s="11">
        <v>48582547</v>
      </c>
      <c r="G32" s="12"/>
      <c r="H32" s="160"/>
      <c r="J32" s="38"/>
      <c r="K32" s="39"/>
      <c r="L32" s="39"/>
      <c r="M32" s="39"/>
      <c r="N32" s="39"/>
    </row>
    <row r="33" spans="1:15">
      <c r="A33" s="125">
        <v>2023</v>
      </c>
      <c r="B33" s="13">
        <f>D33/E33</f>
        <v>0.18795271069979025</v>
      </c>
      <c r="D33" s="11">
        <v>8705348</v>
      </c>
      <c r="E33" s="11">
        <v>46316693</v>
      </c>
      <c r="G33" s="12"/>
      <c r="H33" s="160"/>
      <c r="J33" s="40"/>
      <c r="K33" s="41"/>
      <c r="L33" s="41"/>
      <c r="M33" s="41"/>
      <c r="N33" s="41"/>
    </row>
    <row r="34" spans="1:15">
      <c r="A34" s="5"/>
      <c r="B34" s="21"/>
      <c r="G34" s="12"/>
      <c r="H34" s="160"/>
    </row>
    <row r="35" spans="1:15">
      <c r="A35" s="5"/>
      <c r="B35" s="13" t="s">
        <v>52</v>
      </c>
      <c r="C35" t="s">
        <v>34</v>
      </c>
      <c r="D35" t="s">
        <v>53</v>
      </c>
      <c r="E35" t="s">
        <v>51</v>
      </c>
      <c r="G35" s="12"/>
      <c r="H35" s="160"/>
      <c r="J35" s="36"/>
      <c r="K35" s="37"/>
      <c r="L35" s="37"/>
      <c r="M35" s="37"/>
      <c r="N35" s="37"/>
    </row>
    <row r="36" spans="1:15">
      <c r="A36" s="125">
        <v>2024</v>
      </c>
      <c r="B36" s="13">
        <f>D36/E36</f>
        <v>0.37625194907957377</v>
      </c>
      <c r="D36" s="11">
        <v>18279278</v>
      </c>
      <c r="E36" s="11">
        <f>$E$32</f>
        <v>48582547</v>
      </c>
      <c r="G36" s="12"/>
      <c r="H36" s="160"/>
      <c r="J36" s="38"/>
      <c r="K36" s="39"/>
      <c r="L36" s="39"/>
      <c r="M36" s="39"/>
      <c r="N36" s="39"/>
    </row>
    <row r="37" spans="1:15" ht="15" thickBot="1">
      <c r="A37" s="125">
        <v>2023</v>
      </c>
      <c r="B37" s="18">
        <f>D37/E37</f>
        <v>0.39277765362047762</v>
      </c>
      <c r="C37" s="16"/>
      <c r="D37" s="19">
        <v>18192162</v>
      </c>
      <c r="E37" s="11">
        <v>46316693</v>
      </c>
      <c r="F37" s="16"/>
      <c r="G37" s="17"/>
      <c r="H37" s="161"/>
      <c r="J37" s="40"/>
      <c r="K37" s="41"/>
      <c r="L37" s="41"/>
      <c r="M37" s="41"/>
      <c r="N37" s="41"/>
    </row>
    <row r="38" spans="1:15" ht="15" thickTop="1">
      <c r="A38" s="2"/>
      <c r="B38" s="3"/>
      <c r="C38" s="3"/>
      <c r="D38" s="3"/>
      <c r="E38" s="3"/>
      <c r="F38" s="3"/>
      <c r="G38" s="4"/>
      <c r="H38" s="159" t="s">
        <v>54</v>
      </c>
    </row>
    <row r="39" spans="1:15">
      <c r="A39" s="5"/>
      <c r="B39" s="7" t="s">
        <v>55</v>
      </c>
      <c r="D39" s="162" t="s">
        <v>56</v>
      </c>
      <c r="E39" s="162"/>
      <c r="G39" s="12"/>
      <c r="H39" s="160"/>
    </row>
    <row r="40" spans="1:15">
      <c r="A40" s="5"/>
      <c r="D40" s="163" t="s">
        <v>57</v>
      </c>
      <c r="E40" s="163"/>
      <c r="F40" s="163"/>
      <c r="G40" s="164"/>
      <c r="H40" s="160"/>
    </row>
    <row r="41" spans="1:15" ht="15" thickBot="1">
      <c r="A41" s="5"/>
      <c r="D41" s="128"/>
      <c r="E41" s="128"/>
      <c r="F41" s="128"/>
      <c r="G41" s="22"/>
      <c r="H41" s="160"/>
    </row>
    <row r="42" spans="1:15" ht="15" thickTop="1">
      <c r="A42" s="175">
        <v>2024</v>
      </c>
      <c r="B42" s="124" t="s">
        <v>85</v>
      </c>
      <c r="D42" s="124" t="s">
        <v>86</v>
      </c>
      <c r="E42" s="165" t="s">
        <v>60</v>
      </c>
      <c r="F42" s="165"/>
      <c r="G42" s="14" t="s">
        <v>61</v>
      </c>
      <c r="H42" s="160"/>
      <c r="J42" s="36"/>
      <c r="K42" s="37"/>
      <c r="L42" s="37"/>
      <c r="M42" s="37"/>
      <c r="N42" s="37"/>
      <c r="O42" s="5"/>
    </row>
    <row r="43" spans="1:15">
      <c r="A43" s="175"/>
      <c r="B43" s="11">
        <v>1454876288</v>
      </c>
      <c r="D43" s="11">
        <v>1490083081</v>
      </c>
      <c r="E43" s="11">
        <f>B43+D43</f>
        <v>2944959369</v>
      </c>
      <c r="G43" s="130">
        <f>E43/2</f>
        <v>1472479684.5</v>
      </c>
      <c r="H43" s="160"/>
      <c r="J43" s="38"/>
      <c r="K43" s="39"/>
      <c r="L43" s="39"/>
      <c r="M43" s="39"/>
      <c r="N43" s="39"/>
      <c r="O43" s="5"/>
    </row>
    <row r="44" spans="1:15" ht="15" thickBot="1">
      <c r="A44" s="175"/>
      <c r="B44" t="s">
        <v>62</v>
      </c>
      <c r="D44" s="11">
        <v>39955356</v>
      </c>
      <c r="E44" s="11"/>
      <c r="G44" s="12"/>
      <c r="H44" s="160"/>
      <c r="J44" s="40"/>
      <c r="K44" s="41"/>
      <c r="L44" s="41"/>
      <c r="M44" s="41"/>
      <c r="N44" s="41"/>
      <c r="O44" s="5"/>
    </row>
    <row r="45" spans="1:15" ht="15" thickTop="1">
      <c r="A45" s="5"/>
      <c r="B45" s="7" t="s">
        <v>63</v>
      </c>
      <c r="C45" s="7"/>
      <c r="D45" s="8"/>
      <c r="E45" s="8"/>
      <c r="F45" s="7"/>
      <c r="G45" s="14">
        <f>D44/G43</f>
        <v>2.7134741769674991E-2</v>
      </c>
      <c r="H45" s="160"/>
    </row>
    <row r="46" spans="1:15">
      <c r="A46" s="23"/>
      <c r="B46" s="131" t="s">
        <v>64</v>
      </c>
      <c r="C46" s="131"/>
      <c r="D46" s="132">
        <f>360/G45</f>
        <v>13267.124598264121</v>
      </c>
      <c r="E46" s="132" t="s">
        <v>65</v>
      </c>
      <c r="F46" s="131"/>
      <c r="G46" s="133">
        <v>360</v>
      </c>
      <c r="H46" s="160"/>
    </row>
    <row r="47" spans="1:15">
      <c r="A47" s="5"/>
      <c r="B47" s="7"/>
      <c r="C47" s="7"/>
      <c r="D47" s="8"/>
      <c r="E47" s="8"/>
      <c r="F47" s="7"/>
      <c r="G47" s="24"/>
      <c r="H47" s="160"/>
    </row>
    <row r="48" spans="1:15">
      <c r="A48" s="175">
        <v>2023</v>
      </c>
      <c r="B48" s="124" t="s">
        <v>58</v>
      </c>
      <c r="D48" s="124" t="s">
        <v>59</v>
      </c>
      <c r="E48" s="165" t="s">
        <v>60</v>
      </c>
      <c r="F48" s="165"/>
      <c r="G48" s="14" t="s">
        <v>61</v>
      </c>
      <c r="H48" s="160"/>
    </row>
    <row r="49" spans="1:16">
      <c r="A49" s="175"/>
      <c r="B49" s="11">
        <v>1025186468</v>
      </c>
      <c r="D49" s="11">
        <v>1454876288</v>
      </c>
      <c r="E49" s="176">
        <f>B49+D49</f>
        <v>2480062756</v>
      </c>
      <c r="F49" s="176"/>
      <c r="G49" s="130">
        <f>E49/2</f>
        <v>1240031378</v>
      </c>
      <c r="H49" s="160"/>
    </row>
    <row r="50" spans="1:16">
      <c r="A50" s="175"/>
      <c r="B50" t="s">
        <v>62</v>
      </c>
      <c r="D50" s="11">
        <v>37611345</v>
      </c>
      <c r="E50" s="11"/>
      <c r="G50" s="12"/>
      <c r="H50" s="160"/>
    </row>
    <row r="51" spans="1:16">
      <c r="A51" s="5"/>
      <c r="B51" s="7" t="s">
        <v>63</v>
      </c>
      <c r="C51" s="7"/>
      <c r="D51" s="8"/>
      <c r="E51" s="8"/>
      <c r="F51" s="7"/>
      <c r="G51" s="14">
        <f>D50/G49</f>
        <v>3.0330962318600295E-2</v>
      </c>
      <c r="H51" s="160"/>
    </row>
    <row r="52" spans="1:16">
      <c r="A52" s="5"/>
      <c r="B52" s="131" t="s">
        <v>64</v>
      </c>
      <c r="C52" s="131"/>
      <c r="D52" s="132">
        <f>360/G51</f>
        <v>11869.059616985247</v>
      </c>
      <c r="E52" s="132" t="s">
        <v>65</v>
      </c>
      <c r="F52" s="131"/>
      <c r="G52" s="133">
        <v>360</v>
      </c>
      <c r="H52" s="160"/>
    </row>
    <row r="53" spans="1:16">
      <c r="A53" s="5"/>
      <c r="B53" s="7"/>
      <c r="C53" s="7"/>
      <c r="D53" s="8"/>
      <c r="E53" s="8"/>
      <c r="F53" s="7"/>
      <c r="G53" s="24"/>
      <c r="H53" s="160"/>
    </row>
    <row r="54" spans="1:16">
      <c r="A54" s="25"/>
      <c r="B54" s="134"/>
      <c r="C54" s="134"/>
      <c r="D54" s="135"/>
      <c r="E54" s="135"/>
      <c r="F54" s="135"/>
      <c r="G54" s="26"/>
      <c r="H54" s="160"/>
    </row>
    <row r="55" spans="1:16" ht="15" thickBot="1">
      <c r="A55" s="5"/>
      <c r="B55" s="7" t="s">
        <v>66</v>
      </c>
      <c r="D55" s="162" t="s">
        <v>67</v>
      </c>
      <c r="E55" s="162"/>
      <c r="G55" s="12"/>
      <c r="H55" s="160"/>
    </row>
    <row r="56" spans="1:16" ht="15" thickTop="1">
      <c r="A56" s="5"/>
      <c r="D56" s="163" t="s">
        <v>68</v>
      </c>
      <c r="E56" s="163"/>
      <c r="F56" s="163"/>
      <c r="G56" s="164"/>
      <c r="H56" s="160"/>
      <c r="J56" s="166"/>
      <c r="K56" s="167"/>
      <c r="L56" s="167"/>
      <c r="M56" s="167"/>
      <c r="N56" s="167"/>
      <c r="O56" s="167"/>
      <c r="P56" s="168"/>
    </row>
    <row r="57" spans="1:16">
      <c r="A57" s="175">
        <v>2024</v>
      </c>
      <c r="D57" s="128"/>
      <c r="E57" s="128"/>
      <c r="F57" s="128"/>
      <c r="G57" s="22"/>
      <c r="H57" s="160"/>
      <c r="J57" s="169"/>
      <c r="K57" s="170"/>
      <c r="L57" s="170"/>
      <c r="M57" s="170"/>
      <c r="N57" s="170"/>
      <c r="O57" s="170"/>
      <c r="P57" s="171"/>
    </row>
    <row r="58" spans="1:16" ht="15" thickBot="1">
      <c r="A58" s="175"/>
      <c r="B58" s="124" t="s">
        <v>87</v>
      </c>
      <c r="D58" s="145" t="s">
        <v>96</v>
      </c>
      <c r="E58" s="165" t="s">
        <v>98</v>
      </c>
      <c r="F58" s="165"/>
      <c r="G58" s="14" t="s">
        <v>70</v>
      </c>
      <c r="H58" s="160"/>
      <c r="J58" s="172"/>
      <c r="K58" s="173"/>
      <c r="L58" s="173"/>
      <c r="M58" s="173"/>
      <c r="N58" s="173"/>
      <c r="O58" s="173"/>
      <c r="P58" s="174"/>
    </row>
    <row r="59" spans="1:16" ht="15" thickTop="1">
      <c r="A59" s="175"/>
      <c r="B59" s="11">
        <v>8592557</v>
      </c>
      <c r="D59" s="11">
        <v>952968192</v>
      </c>
      <c r="E59" s="176">
        <f>B59+D59</f>
        <v>961560749</v>
      </c>
      <c r="F59" s="165"/>
      <c r="G59" s="8">
        <f>E59/2</f>
        <v>480780374.5</v>
      </c>
      <c r="H59" s="160"/>
    </row>
    <row r="60" spans="1:16">
      <c r="A60" s="175"/>
      <c r="B60" s="11"/>
      <c r="D60" s="11"/>
      <c r="E60" s="129"/>
      <c r="F60" s="129"/>
      <c r="G60" s="7"/>
      <c r="H60" s="160"/>
    </row>
    <row r="61" spans="1:16">
      <c r="A61" s="175"/>
      <c r="B61" t="s">
        <v>71</v>
      </c>
      <c r="D61" s="11" t="s">
        <v>99</v>
      </c>
      <c r="E61" s="11"/>
      <c r="G61" s="12"/>
      <c r="H61" s="160"/>
    </row>
    <row r="62" spans="1:16">
      <c r="A62" s="5"/>
      <c r="B62" s="7" t="s">
        <v>63</v>
      </c>
      <c r="C62" s="7"/>
      <c r="D62" s="8"/>
      <c r="E62" s="8"/>
      <c r="F62" s="7"/>
      <c r="G62" s="140" t="e">
        <f>D61/G59</f>
        <v>#VALUE!</v>
      </c>
      <c r="H62" s="160"/>
    </row>
    <row r="63" spans="1:16">
      <c r="A63" s="23"/>
      <c r="B63" s="131" t="s">
        <v>64</v>
      </c>
      <c r="C63" s="131"/>
      <c r="D63" s="132" t="e">
        <f>G63/G62</f>
        <v>#VALUE!</v>
      </c>
      <c r="E63" s="132" t="s">
        <v>65</v>
      </c>
      <c r="F63" s="131"/>
      <c r="G63" s="133">
        <v>360</v>
      </c>
      <c r="H63" s="160"/>
    </row>
    <row r="64" spans="1:16">
      <c r="A64" s="5"/>
      <c r="B64" s="7"/>
      <c r="C64" s="7"/>
      <c r="D64" s="8"/>
      <c r="E64" s="8"/>
      <c r="F64" s="7"/>
      <c r="G64" s="24"/>
      <c r="H64" s="160"/>
    </row>
    <row r="65" spans="1:8">
      <c r="A65" s="175">
        <v>2023</v>
      </c>
      <c r="B65" s="124" t="s">
        <v>69</v>
      </c>
      <c r="D65" s="145" t="s">
        <v>97</v>
      </c>
      <c r="E65" s="165" t="s">
        <v>98</v>
      </c>
      <c r="F65" s="165"/>
      <c r="G65" s="14" t="s">
        <v>70</v>
      </c>
      <c r="H65" s="160"/>
    </row>
    <row r="66" spans="1:8">
      <c r="A66" s="175"/>
      <c r="B66" s="11">
        <v>10759865</v>
      </c>
      <c r="D66" s="11">
        <v>1406948646</v>
      </c>
      <c r="E66" s="11">
        <f>B66+D66</f>
        <v>1417708511</v>
      </c>
      <c r="G66" s="130">
        <f>E66/2</f>
        <v>708854255.5</v>
      </c>
      <c r="H66" s="160"/>
    </row>
    <row r="67" spans="1:8">
      <c r="A67" s="175"/>
      <c r="B67" s="11"/>
      <c r="D67" s="11"/>
      <c r="E67" s="11"/>
      <c r="G67" s="130"/>
      <c r="H67" s="160"/>
    </row>
    <row r="68" spans="1:8">
      <c r="A68" s="175"/>
      <c r="B68" t="s">
        <v>71</v>
      </c>
      <c r="D68" s="11">
        <v>46316693</v>
      </c>
      <c r="E68" s="11"/>
      <c r="G68" s="12"/>
      <c r="H68" s="160"/>
    </row>
    <row r="69" spans="1:8">
      <c r="A69" s="175"/>
      <c r="B69" s="7" t="s">
        <v>63</v>
      </c>
      <c r="C69" s="7"/>
      <c r="D69" s="8"/>
      <c r="E69" s="8"/>
      <c r="F69" s="7"/>
      <c r="G69" s="140">
        <f>D68/G66</f>
        <v>6.5340219996746565E-2</v>
      </c>
      <c r="H69" s="160"/>
    </row>
    <row r="70" spans="1:8" ht="15" thickBot="1">
      <c r="A70" s="136"/>
      <c r="B70" s="137" t="s">
        <v>64</v>
      </c>
      <c r="C70" s="137"/>
      <c r="D70" s="138">
        <f>G70/G69</f>
        <v>5509.6233226322956</v>
      </c>
      <c r="E70" s="138" t="s">
        <v>65</v>
      </c>
      <c r="F70" s="137"/>
      <c r="G70" s="139">
        <v>360</v>
      </c>
      <c r="H70" s="161"/>
    </row>
    <row r="71" spans="1:8" ht="15" thickTop="1"/>
  </sheetData>
  <mergeCells count="23">
    <mergeCell ref="A65:A69"/>
    <mergeCell ref="A57:A61"/>
    <mergeCell ref="E59:F59"/>
    <mergeCell ref="E49:F49"/>
    <mergeCell ref="A42:A44"/>
    <mergeCell ref="A48:A50"/>
    <mergeCell ref="D56:G56"/>
    <mergeCell ref="E58:F58"/>
    <mergeCell ref="E65:F65"/>
    <mergeCell ref="J56:P58"/>
    <mergeCell ref="J19:P21"/>
    <mergeCell ref="J28:O29"/>
    <mergeCell ref="J3:M5"/>
    <mergeCell ref="J14:Q16"/>
    <mergeCell ref="H2:H17"/>
    <mergeCell ref="H18:H29"/>
    <mergeCell ref="H30:H37"/>
    <mergeCell ref="H38:H70"/>
    <mergeCell ref="D39:E39"/>
    <mergeCell ref="D40:G40"/>
    <mergeCell ref="E42:F42"/>
    <mergeCell ref="E48:F48"/>
    <mergeCell ref="D55:E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DİKEY ANALİZ (Bilanço-Varlık)</vt:lpstr>
      <vt:lpstr>DİKEY ANALİZ-GELİR TABLOSU</vt:lpstr>
      <vt:lpstr>YATAY ANALİZ</vt:lpstr>
      <vt:lpstr>Trend Analizi</vt:lpstr>
      <vt:lpstr>ORAN ANALİZİ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mutlu</dc:creator>
  <cp:lastModifiedBy>Esra Acı</cp:lastModifiedBy>
  <cp:lastPrinted>2026-10-15T15:56:27Z</cp:lastPrinted>
  <dcterms:created xsi:type="dcterms:W3CDTF">2015-06-05T18:19:00Z</dcterms:created>
  <dcterms:modified xsi:type="dcterms:W3CDTF">2026-10-15T15:57:04Z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7E020D1B6E3A4244B90E03042341ADBE_13</vt:lpwstr>
  </property>
  <property fmtid="{D5CDD505-2E9C-101B-9397-08002B2CF9AE}" pid="3" name="KSOProductBuildVer">
    <vt:lpwstr>1033-12.2.0.18639</vt:lpwstr>
  </property>
</Properties>
</file>